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ortfolio Project\Coffee Sales Analysis\"/>
    </mc:Choice>
  </mc:AlternateContent>
  <xr:revisionPtr revIDLastSave="0" documentId="13_ncr:1_{5B249585-599C-460E-A156-2F9C31FD1EF8}" xr6:coauthVersionLast="47" xr6:coauthVersionMax="47" xr10:uidLastSave="{00000000-0000-0000-0000-000000000000}"/>
  <bookViews>
    <workbookView xWindow="-98" yWindow="-98" windowWidth="23236" windowHeight="13875" firstSheet="6" activeTab="6" xr2:uid="{00000000-000D-0000-FFFF-FFFF00000000}"/>
  </bookViews>
  <sheets>
    <sheet name="TotalSales" sheetId="18" r:id="rId1"/>
    <sheet name="CountryBarChart" sheetId="19" r:id="rId2"/>
    <sheet name="Top5Customers" sheetId="20" r:id="rId3"/>
    <sheet name="orders" sheetId="17" r:id="rId4"/>
    <sheet name="customers" sheetId="13" r:id="rId5"/>
    <sheet name="products" sheetId="2" r:id="rId6"/>
    <sheet name="Dashboard" sheetId="21"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3" i="17"/>
  <c r="O27" i="17"/>
  <c r="O40" i="17"/>
  <c r="O41" i="17"/>
  <c r="O64" i="17"/>
  <c r="O72" i="17"/>
  <c r="O88" i="17"/>
  <c r="O89" i="17"/>
  <c r="O92" i="17"/>
  <c r="O128" i="17"/>
  <c r="O129" i="17"/>
  <c r="O150" i="17"/>
  <c r="O160" i="17"/>
  <c r="O176" i="17"/>
  <c r="O184" i="17"/>
  <c r="O185" i="17"/>
  <c r="O210" i="17"/>
  <c r="O219" i="17"/>
  <c r="O220" i="17"/>
  <c r="O252" i="17"/>
  <c r="O268" i="17"/>
  <c r="O269" i="17"/>
  <c r="O272" i="17"/>
  <c r="O273" i="17"/>
  <c r="O274" i="17"/>
  <c r="O313" i="17"/>
  <c r="O360" i="17"/>
  <c r="O393" i="17"/>
  <c r="O400" i="17"/>
  <c r="O401" i="17"/>
  <c r="O402" i="17"/>
  <c r="O413" i="17"/>
  <c r="O429" i="17"/>
  <c r="O430" i="17"/>
  <c r="O476" i="17"/>
  <c r="O477" i="17"/>
  <c r="O489" i="17"/>
  <c r="O491" i="17"/>
  <c r="O540" i="17"/>
  <c r="O568" i="17"/>
  <c r="O605" i="17"/>
  <c r="O624" i="17"/>
  <c r="O625" i="17"/>
  <c r="O632" i="17"/>
  <c r="O669" i="17"/>
  <c r="O696" i="17"/>
  <c r="O697" i="17"/>
  <c r="O699" i="17"/>
  <c r="O748" i="17"/>
  <c r="O760" i="17"/>
  <c r="O761" i="17"/>
  <c r="O783" i="17"/>
  <c r="O817" i="17"/>
  <c r="O840" i="17"/>
  <c r="O877" i="17"/>
  <c r="O880" i="17"/>
  <c r="O908" i="17"/>
  <c r="O909" i="17"/>
  <c r="O914" i="17"/>
  <c r="O961" i="17"/>
  <c r="O968" i="17"/>
  <c r="O971" i="17"/>
  <c r="N5" i="17"/>
  <c r="N17" i="17"/>
  <c r="N19" i="17"/>
  <c r="N27" i="17"/>
  <c r="N41" i="17"/>
  <c r="N42" i="17"/>
  <c r="N53" i="17"/>
  <c r="N54" i="17"/>
  <c r="N57" i="17"/>
  <c r="N81" i="17"/>
  <c r="N83" i="17"/>
  <c r="N87" i="17"/>
  <c r="N89" i="17"/>
  <c r="N105" i="17"/>
  <c r="N110" i="17"/>
  <c r="N133" i="17"/>
  <c r="N145" i="17"/>
  <c r="N147" i="17"/>
  <c r="N149" i="17"/>
  <c r="N174" i="17"/>
  <c r="N229" i="17"/>
  <c r="N233" i="17"/>
  <c r="N238" i="17"/>
  <c r="N261" i="17"/>
  <c r="N299" i="17"/>
  <c r="N313" i="17"/>
  <c r="N321" i="17"/>
  <c r="N325" i="17"/>
  <c r="N353" i="17"/>
  <c r="N357" i="17"/>
  <c r="N365" i="17"/>
  <c r="N385" i="17"/>
  <c r="N409" i="17"/>
  <c r="N429" i="17"/>
  <c r="N430" i="17"/>
  <c r="N433" i="17"/>
  <c r="N434" i="17"/>
  <c r="N483" i="17"/>
  <c r="N509" i="17"/>
  <c r="N511" i="17"/>
  <c r="N557" i="17"/>
  <c r="N565" i="17"/>
  <c r="N575" i="17"/>
  <c r="N599" i="17"/>
  <c r="N607" i="17"/>
  <c r="N609" i="17"/>
  <c r="N615" i="17"/>
  <c r="N643" i="17"/>
  <c r="N661" i="17"/>
  <c r="N691" i="17"/>
  <c r="N701" i="17"/>
  <c r="N703" i="17"/>
  <c r="N705" i="17"/>
  <c r="N706" i="17"/>
  <c r="N733" i="17"/>
  <c r="N751" i="17"/>
  <c r="N753" i="17"/>
  <c r="N754" i="17"/>
  <c r="N781" i="17"/>
  <c r="N789" i="17"/>
  <c r="N830" i="17"/>
  <c r="N834" i="17"/>
  <c r="N837" i="17"/>
  <c r="N866" i="17"/>
  <c r="N879" i="17"/>
  <c r="N885" i="17"/>
  <c r="N886" i="17"/>
  <c r="N911" i="17"/>
  <c r="N915" i="17"/>
  <c r="N917" i="17"/>
  <c r="N947" i="17"/>
  <c r="N967" i="17"/>
  <c r="M4" i="17"/>
  <c r="M6" i="17"/>
  <c r="M10" i="17"/>
  <c r="M12" i="17"/>
  <c r="M14" i="17"/>
  <c r="M22" i="17"/>
  <c r="M24" i="17"/>
  <c r="M25" i="17"/>
  <c r="M26" i="17"/>
  <c r="M30" i="17"/>
  <c r="M32" i="17"/>
  <c r="M36" i="17"/>
  <c r="M37" i="17"/>
  <c r="M41" i="17"/>
  <c r="M43" i="17"/>
  <c r="M44" i="17"/>
  <c r="M46" i="17"/>
  <c r="M48" i="17"/>
  <c r="M52" i="17"/>
  <c r="M64" i="17"/>
  <c r="M68" i="17"/>
  <c r="M69" i="17"/>
  <c r="M72" i="17"/>
  <c r="M73" i="17"/>
  <c r="M74" i="17"/>
  <c r="M75" i="17"/>
  <c r="M88" i="17"/>
  <c r="M92" i="17"/>
  <c r="M93" i="17"/>
  <c r="M101" i="17"/>
  <c r="M103" i="17"/>
  <c r="M104" i="17"/>
  <c r="M105" i="17"/>
  <c r="M112" i="17"/>
  <c r="M116" i="17"/>
  <c r="M120" i="17"/>
  <c r="M122" i="17"/>
  <c r="M123" i="17"/>
  <c r="M124" i="17"/>
  <c r="M128" i="17"/>
  <c r="M144" i="17"/>
  <c r="M148" i="17"/>
  <c r="M149" i="17"/>
  <c r="M152" i="17"/>
  <c r="M153" i="17"/>
  <c r="M154" i="17"/>
  <c r="M168" i="17"/>
  <c r="M172" i="17"/>
  <c r="M180" i="17"/>
  <c r="M184" i="17"/>
  <c r="M192" i="17"/>
  <c r="M201" i="17"/>
  <c r="M204" i="17"/>
  <c r="M224" i="17"/>
  <c r="M228" i="17"/>
  <c r="M229" i="17"/>
  <c r="M232" i="17"/>
  <c r="M233" i="17"/>
  <c r="M248" i="17"/>
  <c r="M252" i="17"/>
  <c r="M260" i="17"/>
  <c r="M268" i="17"/>
  <c r="M269" i="17"/>
  <c r="M279" i="17"/>
  <c r="M280" i="17"/>
  <c r="M281" i="17"/>
  <c r="M282" i="17"/>
  <c r="M300" i="17"/>
  <c r="M302" i="17"/>
  <c r="M303" i="17"/>
  <c r="M304" i="17"/>
  <c r="M308" i="17"/>
  <c r="M319" i="17"/>
  <c r="M320" i="17"/>
  <c r="M324" i="17"/>
  <c r="M325" i="17"/>
  <c r="M345" i="17"/>
  <c r="M346" i="17"/>
  <c r="M348" i="17"/>
  <c r="M349" i="17"/>
  <c r="M350" i="17"/>
  <c r="M357" i="17"/>
  <c r="M358" i="17"/>
  <c r="M365" i="17"/>
  <c r="M377" i="17"/>
  <c r="M380" i="17"/>
  <c r="M396" i="17"/>
  <c r="M397" i="17"/>
  <c r="M398" i="17"/>
  <c r="M399" i="17"/>
  <c r="M420" i="17"/>
  <c r="M422" i="17"/>
  <c r="M423" i="17"/>
  <c r="M424" i="17"/>
  <c r="M425" i="17"/>
  <c r="M427" i="17"/>
  <c r="M440" i="17"/>
  <c r="M441" i="17"/>
  <c r="M442" i="17"/>
  <c r="M448" i="17"/>
  <c r="M462" i="17"/>
  <c r="M463" i="17"/>
  <c r="M464" i="17"/>
  <c r="M468" i="17"/>
  <c r="M469" i="17"/>
  <c r="M470" i="17"/>
  <c r="M476" i="17"/>
  <c r="M496" i="17"/>
  <c r="M500" i="17"/>
  <c r="M501" i="17"/>
  <c r="M512" i="17"/>
  <c r="M516" i="17"/>
  <c r="M517" i="17"/>
  <c r="M519" i="17"/>
  <c r="M537" i="17"/>
  <c r="M540" i="17"/>
  <c r="M541" i="17"/>
  <c r="M544" i="17"/>
  <c r="M548" i="17"/>
  <c r="M549" i="17"/>
  <c r="M559" i="17"/>
  <c r="M568" i="17"/>
  <c r="M573" i="17"/>
  <c r="M574" i="17"/>
  <c r="M584" i="17"/>
  <c r="M585" i="17"/>
  <c r="M587" i="17"/>
  <c r="M592" i="17"/>
  <c r="M596" i="17"/>
  <c r="M616" i="17"/>
  <c r="M617" i="17"/>
  <c r="M620" i="17"/>
  <c r="M621" i="17"/>
  <c r="M636" i="17"/>
  <c r="M645" i="17"/>
  <c r="M656" i="17"/>
  <c r="M660" i="17"/>
  <c r="M661" i="17"/>
  <c r="M664" i="17"/>
  <c r="M665" i="17"/>
  <c r="M670" i="17"/>
  <c r="M685" i="17"/>
  <c r="M693" i="17"/>
  <c r="M694" i="17"/>
  <c r="M696" i="17"/>
  <c r="M704" i="17"/>
  <c r="M712" i="17"/>
  <c r="M713" i="17"/>
  <c r="M733" i="17"/>
  <c r="M734" i="17"/>
  <c r="M736" i="17"/>
  <c r="M740" i="17"/>
  <c r="M741" i="17"/>
  <c r="M756" i="17"/>
  <c r="M764" i="17"/>
  <c r="M768" i="17"/>
  <c r="M780" i="17"/>
  <c r="M781" i="17"/>
  <c r="M790" i="17"/>
  <c r="M805" i="17"/>
  <c r="M811" i="17"/>
  <c r="M812" i="17"/>
  <c r="M813" i="17"/>
  <c r="M815" i="17"/>
  <c r="M828" i="17"/>
  <c r="M829" i="17"/>
  <c r="M830" i="17"/>
  <c r="M853" i="17"/>
  <c r="M854" i="17"/>
  <c r="M856" i="17"/>
  <c r="M857" i="17"/>
  <c r="M858" i="17"/>
  <c r="M860" i="17"/>
  <c r="M861" i="17"/>
  <c r="M884" i="17"/>
  <c r="M888" i="17"/>
  <c r="M889" i="17"/>
  <c r="M900" i="17"/>
  <c r="M901" i="17"/>
  <c r="M907" i="17"/>
  <c r="M928" i="17"/>
  <c r="M932" i="17"/>
  <c r="M933" i="17"/>
  <c r="M935" i="17"/>
  <c r="M936" i="17"/>
  <c r="M937" i="17"/>
  <c r="M949" i="17"/>
  <c r="M957" i="17"/>
  <c r="M958" i="17"/>
  <c r="M972" i="17"/>
  <c r="M973" i="17"/>
  <c r="M976" i="17"/>
  <c r="M996" i="17"/>
  <c r="M1000" i="17"/>
  <c r="M1001" i="17"/>
  <c r="I3" i="17"/>
  <c r="N3" i="17" s="1"/>
  <c r="J3" i="17"/>
  <c r="O3" i="17" s="1"/>
  <c r="K3" i="17"/>
  <c r="L3" i="17"/>
  <c r="M3" i="17" s="1"/>
  <c r="I4" i="17"/>
  <c r="N4" i="17" s="1"/>
  <c r="J4" i="17"/>
  <c r="O4" i="17" s="1"/>
  <c r="K4" i="17"/>
  <c r="L4" i="17"/>
  <c r="I5" i="17"/>
  <c r="J5" i="17"/>
  <c r="O5" i="17" s="1"/>
  <c r="K5" i="17"/>
  <c r="L5" i="17"/>
  <c r="M5" i="17" s="1"/>
  <c r="I6" i="17"/>
  <c r="N6" i="17" s="1"/>
  <c r="J6" i="17"/>
  <c r="O6" i="17" s="1"/>
  <c r="K6" i="17"/>
  <c r="L6" i="17"/>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I11" i="17"/>
  <c r="N11" i="17" s="1"/>
  <c r="J11" i="17"/>
  <c r="O11" i="17" s="1"/>
  <c r="K11" i="17"/>
  <c r="L11" i="17"/>
  <c r="M11" i="17" s="1"/>
  <c r="I12" i="17"/>
  <c r="N12" i="17" s="1"/>
  <c r="J12" i="17"/>
  <c r="O12" i="17" s="1"/>
  <c r="K12" i="17"/>
  <c r="L12" i="17"/>
  <c r="I13" i="17"/>
  <c r="N13" i="17" s="1"/>
  <c r="J13" i="17"/>
  <c r="O13" i="17" s="1"/>
  <c r="K13" i="17"/>
  <c r="L13" i="17"/>
  <c r="M13" i="17" s="1"/>
  <c r="I14" i="17"/>
  <c r="N14" i="17" s="1"/>
  <c r="J14" i="17"/>
  <c r="O14" i="17" s="1"/>
  <c r="K14" i="17"/>
  <c r="L14" i="17"/>
  <c r="I15" i="17"/>
  <c r="N15" i="17" s="1"/>
  <c r="J15" i="17"/>
  <c r="O15" i="17" s="1"/>
  <c r="K15" i="17"/>
  <c r="L15" i="17"/>
  <c r="M15" i="17" s="1"/>
  <c r="I16" i="17"/>
  <c r="N16" i="17" s="1"/>
  <c r="J16" i="17"/>
  <c r="O16" i="17" s="1"/>
  <c r="K16" i="17"/>
  <c r="L16" i="17"/>
  <c r="M16" i="17" s="1"/>
  <c r="I17" i="17"/>
  <c r="J17" i="17"/>
  <c r="O17" i="17" s="1"/>
  <c r="K17" i="17"/>
  <c r="L17" i="17"/>
  <c r="M17" i="17" s="1"/>
  <c r="I18" i="17"/>
  <c r="N18" i="17" s="1"/>
  <c r="J18" i="17"/>
  <c r="O18" i="17" s="1"/>
  <c r="K18" i="17"/>
  <c r="L18" i="17"/>
  <c r="M18" i="17" s="1"/>
  <c r="I19" i="17"/>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I23" i="17"/>
  <c r="N23" i="17" s="1"/>
  <c r="J23" i="17"/>
  <c r="K23" i="17"/>
  <c r="L23" i="17"/>
  <c r="M23" i="17" s="1"/>
  <c r="I24" i="17"/>
  <c r="N24" i="17" s="1"/>
  <c r="J24" i="17"/>
  <c r="O24" i="17" s="1"/>
  <c r="K24" i="17"/>
  <c r="L24" i="17"/>
  <c r="I25" i="17"/>
  <c r="N25" i="17" s="1"/>
  <c r="J25" i="17"/>
  <c r="O25" i="17" s="1"/>
  <c r="K25" i="17"/>
  <c r="L25" i="17"/>
  <c r="I26" i="17"/>
  <c r="N26" i="17" s="1"/>
  <c r="J26" i="17"/>
  <c r="O26" i="17" s="1"/>
  <c r="K26" i="17"/>
  <c r="L26" i="17"/>
  <c r="I27" i="17"/>
  <c r="J27" i="17"/>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M31" i="17" s="1"/>
  <c r="I32" i="17"/>
  <c r="N32" i="17" s="1"/>
  <c r="J32" i="17"/>
  <c r="O32" i="17" s="1"/>
  <c r="K32" i="17"/>
  <c r="L32" i="17"/>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I38" i="17"/>
  <c r="N38" i="17" s="1"/>
  <c r="J38" i="17"/>
  <c r="O38" i="17" s="1"/>
  <c r="K38" i="17"/>
  <c r="L38" i="17"/>
  <c r="M38" i="17" s="1"/>
  <c r="I39" i="17"/>
  <c r="N39" i="17" s="1"/>
  <c r="J39" i="17"/>
  <c r="O39" i="17" s="1"/>
  <c r="K39" i="17"/>
  <c r="L39" i="17"/>
  <c r="M39" i="17" s="1"/>
  <c r="I40" i="17"/>
  <c r="N40" i="17" s="1"/>
  <c r="J40" i="17"/>
  <c r="K40" i="17"/>
  <c r="L40" i="17"/>
  <c r="M40" i="17" s="1"/>
  <c r="I41" i="17"/>
  <c r="J41" i="17"/>
  <c r="K41" i="17"/>
  <c r="L41" i="17"/>
  <c r="I42" i="17"/>
  <c r="J42" i="17"/>
  <c r="O42" i="17" s="1"/>
  <c r="K42" i="17"/>
  <c r="L42" i="17"/>
  <c r="M42" i="17" s="1"/>
  <c r="I43" i="17"/>
  <c r="N43" i="17" s="1"/>
  <c r="J43" i="17"/>
  <c r="O43" i="17" s="1"/>
  <c r="K43" i="17"/>
  <c r="L43" i="17"/>
  <c r="I44" i="17"/>
  <c r="N44" i="17" s="1"/>
  <c r="J44" i="17"/>
  <c r="O44" i="17" s="1"/>
  <c r="K44" i="17"/>
  <c r="L44" i="17"/>
  <c r="I45" i="17"/>
  <c r="N45" i="17" s="1"/>
  <c r="J45" i="17"/>
  <c r="O45" i="17" s="1"/>
  <c r="K45" i="17"/>
  <c r="L45" i="17"/>
  <c r="M45" i="17" s="1"/>
  <c r="I46" i="17"/>
  <c r="N46" i="17" s="1"/>
  <c r="J46" i="17"/>
  <c r="O46" i="17" s="1"/>
  <c r="K46" i="17"/>
  <c r="L46" i="17"/>
  <c r="I47" i="17"/>
  <c r="N47" i="17" s="1"/>
  <c r="J47" i="17"/>
  <c r="O47" i="17" s="1"/>
  <c r="K47" i="17"/>
  <c r="L47" i="17"/>
  <c r="M47" i="17" s="1"/>
  <c r="I48" i="17"/>
  <c r="N48" i="17" s="1"/>
  <c r="J48" i="17"/>
  <c r="O48" i="17" s="1"/>
  <c r="K48" i="17"/>
  <c r="L48" i="17"/>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I53" i="17"/>
  <c r="J53" i="17"/>
  <c r="O53" i="17" s="1"/>
  <c r="K53" i="17"/>
  <c r="L53" i="17"/>
  <c r="M53" i="17" s="1"/>
  <c r="I54" i="17"/>
  <c r="J54" i="17"/>
  <c r="O54" i="17" s="1"/>
  <c r="K54" i="17"/>
  <c r="L54" i="17"/>
  <c r="M54" i="17" s="1"/>
  <c r="I55" i="17"/>
  <c r="N55" i="17" s="1"/>
  <c r="J55" i="17"/>
  <c r="O55" i="17" s="1"/>
  <c r="K55" i="17"/>
  <c r="L55" i="17"/>
  <c r="M55" i="17" s="1"/>
  <c r="I56" i="17"/>
  <c r="N56" i="17" s="1"/>
  <c r="J56" i="17"/>
  <c r="O56" i="17" s="1"/>
  <c r="K56" i="17"/>
  <c r="L56" i="17"/>
  <c r="M56" i="17" s="1"/>
  <c r="I57" i="17"/>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K64" i="17"/>
  <c r="L64" i="17"/>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I70" i="17"/>
  <c r="N70" i="17" s="1"/>
  <c r="J70" i="17"/>
  <c r="O70" i="17" s="1"/>
  <c r="K70" i="17"/>
  <c r="L70" i="17"/>
  <c r="M70" i="17" s="1"/>
  <c r="I71" i="17"/>
  <c r="N71" i="17" s="1"/>
  <c r="J71" i="17"/>
  <c r="O71" i="17" s="1"/>
  <c r="K71" i="17"/>
  <c r="L71" i="17"/>
  <c r="M71" i="17" s="1"/>
  <c r="I72" i="17"/>
  <c r="N72" i="17" s="1"/>
  <c r="J72" i="17"/>
  <c r="K72" i="17"/>
  <c r="L72" i="17"/>
  <c r="I73" i="17"/>
  <c r="N73" i="17" s="1"/>
  <c r="J73" i="17"/>
  <c r="O73" i="17" s="1"/>
  <c r="K73" i="17"/>
  <c r="L73" i="17"/>
  <c r="I74" i="17"/>
  <c r="N74" i="17" s="1"/>
  <c r="J74" i="17"/>
  <c r="O74" i="17" s="1"/>
  <c r="K74" i="17"/>
  <c r="L74" i="17"/>
  <c r="I75" i="17"/>
  <c r="N75" i="17" s="1"/>
  <c r="J75" i="17"/>
  <c r="O75" i="17" s="1"/>
  <c r="K75" i="17"/>
  <c r="L75" i="17"/>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J81" i="17"/>
  <c r="O81" i="17" s="1"/>
  <c r="K81" i="17"/>
  <c r="L81" i="17"/>
  <c r="M81" i="17" s="1"/>
  <c r="I82" i="17"/>
  <c r="N82" i="17" s="1"/>
  <c r="J82" i="17"/>
  <c r="O82" i="17" s="1"/>
  <c r="K82" i="17"/>
  <c r="L82" i="17"/>
  <c r="M82" i="17" s="1"/>
  <c r="I83" i="17"/>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J87" i="17"/>
  <c r="O87" i="17" s="1"/>
  <c r="K87" i="17"/>
  <c r="L87" i="17"/>
  <c r="M87" i="17" s="1"/>
  <c r="I88" i="17"/>
  <c r="N88" i="17" s="1"/>
  <c r="J88" i="17"/>
  <c r="K88" i="17"/>
  <c r="L88" i="17"/>
  <c r="I89" i="17"/>
  <c r="J89" i="17"/>
  <c r="K89" i="17"/>
  <c r="L89" i="17"/>
  <c r="M89" i="17" s="1"/>
  <c r="I90" i="17"/>
  <c r="N90" i="17" s="1"/>
  <c r="J90" i="17"/>
  <c r="O90" i="17" s="1"/>
  <c r="K90" i="17"/>
  <c r="L90" i="17"/>
  <c r="M90" i="17" s="1"/>
  <c r="I91" i="17"/>
  <c r="N91" i="17" s="1"/>
  <c r="J91" i="17"/>
  <c r="O91" i="17" s="1"/>
  <c r="K91" i="17"/>
  <c r="L91" i="17"/>
  <c r="M91" i="17" s="1"/>
  <c r="I92" i="17"/>
  <c r="N92" i="17" s="1"/>
  <c r="J92" i="17"/>
  <c r="K92" i="17"/>
  <c r="L92" i="17"/>
  <c r="I93" i="17"/>
  <c r="N93" i="17" s="1"/>
  <c r="J93" i="17"/>
  <c r="O93" i="17" s="1"/>
  <c r="K93" i="17"/>
  <c r="L93" i="17"/>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I102" i="17"/>
  <c r="N102" i="17" s="1"/>
  <c r="J102" i="17"/>
  <c r="O102" i="17" s="1"/>
  <c r="K102" i="17"/>
  <c r="L102" i="17"/>
  <c r="M102" i="17" s="1"/>
  <c r="I103" i="17"/>
  <c r="N103" i="17" s="1"/>
  <c r="J103" i="17"/>
  <c r="O103" i="17" s="1"/>
  <c r="K103" i="17"/>
  <c r="L103" i="17"/>
  <c r="I104" i="17"/>
  <c r="N104" i="17" s="1"/>
  <c r="J104" i="17"/>
  <c r="O104" i="17" s="1"/>
  <c r="K104" i="17"/>
  <c r="L104" i="17"/>
  <c r="I105" i="17"/>
  <c r="J105" i="17"/>
  <c r="O105" i="17" s="1"/>
  <c r="K105" i="17"/>
  <c r="L105" i="17"/>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J110" i="17"/>
  <c r="O110" i="17" s="1"/>
  <c r="K110" i="17"/>
  <c r="L110" i="17"/>
  <c r="M110" i="17" s="1"/>
  <c r="I111" i="17"/>
  <c r="N111" i="17" s="1"/>
  <c r="J111" i="17"/>
  <c r="O111" i="17" s="1"/>
  <c r="K111" i="17"/>
  <c r="L111" i="17"/>
  <c r="M111" i="17" s="1"/>
  <c r="I112" i="17"/>
  <c r="N112" i="17" s="1"/>
  <c r="J112" i="17"/>
  <c r="O112" i="17" s="1"/>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I121" i="17"/>
  <c r="N121" i="17" s="1"/>
  <c r="J121" i="17"/>
  <c r="O121" i="17" s="1"/>
  <c r="K121" i="17"/>
  <c r="L121" i="17"/>
  <c r="M121" i="17" s="1"/>
  <c r="I122" i="17"/>
  <c r="N122" i="17" s="1"/>
  <c r="J122" i="17"/>
  <c r="O122" i="17" s="1"/>
  <c r="K122" i="17"/>
  <c r="L122" i="17"/>
  <c r="I123" i="17"/>
  <c r="N123" i="17" s="1"/>
  <c r="J123" i="17"/>
  <c r="O123" i="17" s="1"/>
  <c r="K123" i="17"/>
  <c r="L123" i="17"/>
  <c r="I124" i="17"/>
  <c r="N124" i="17" s="1"/>
  <c r="J124" i="17"/>
  <c r="O124" i="17" s="1"/>
  <c r="K124" i="17"/>
  <c r="L124" i="17"/>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K128" i="17"/>
  <c r="L128" i="17"/>
  <c r="I129" i="17"/>
  <c r="N129" i="17" s="1"/>
  <c r="J129" i="17"/>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I145" i="17"/>
  <c r="J145" i="17"/>
  <c r="O145" i="17" s="1"/>
  <c r="K145" i="17"/>
  <c r="L145" i="17"/>
  <c r="M145" i="17" s="1"/>
  <c r="I146" i="17"/>
  <c r="N146" i="17" s="1"/>
  <c r="J146" i="17"/>
  <c r="O146" i="17" s="1"/>
  <c r="K146" i="17"/>
  <c r="L146" i="17"/>
  <c r="M146" i="17" s="1"/>
  <c r="I147" i="17"/>
  <c r="J147" i="17"/>
  <c r="O147" i="17" s="1"/>
  <c r="K147" i="17"/>
  <c r="L147" i="17"/>
  <c r="M147" i="17" s="1"/>
  <c r="I148" i="17"/>
  <c r="N148" i="17" s="1"/>
  <c r="J148" i="17"/>
  <c r="O148" i="17" s="1"/>
  <c r="K148" i="17"/>
  <c r="L148" i="17"/>
  <c r="I149" i="17"/>
  <c r="J149" i="17"/>
  <c r="O149" i="17" s="1"/>
  <c r="K149" i="17"/>
  <c r="L149" i="17"/>
  <c r="I150" i="17"/>
  <c r="N150" i="17" s="1"/>
  <c r="J150" i="17"/>
  <c r="K150" i="17"/>
  <c r="L150" i="17"/>
  <c r="M150" i="17" s="1"/>
  <c r="I151" i="17"/>
  <c r="N151" i="17" s="1"/>
  <c r="J151" i="17"/>
  <c r="O151" i="17" s="1"/>
  <c r="K151" i="17"/>
  <c r="L151" i="17"/>
  <c r="M151" i="17" s="1"/>
  <c r="I152" i="17"/>
  <c r="N152" i="17" s="1"/>
  <c r="J152" i="17"/>
  <c r="O152" i="17" s="1"/>
  <c r="K152" i="17"/>
  <c r="L152" i="17"/>
  <c r="I153" i="17"/>
  <c r="N153" i="17" s="1"/>
  <c r="J153" i="17"/>
  <c r="O153" i="17" s="1"/>
  <c r="K153" i="17"/>
  <c r="L153" i="17"/>
  <c r="I154" i="17"/>
  <c r="N154" i="17" s="1"/>
  <c r="J154" i="17"/>
  <c r="O154" i="17" s="1"/>
  <c r="K154" i="17"/>
  <c r="L154" i="17"/>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I173" i="17"/>
  <c r="N173" i="17" s="1"/>
  <c r="J173" i="17"/>
  <c r="O173" i="17" s="1"/>
  <c r="K173" i="17"/>
  <c r="L173" i="17"/>
  <c r="M173" i="17" s="1"/>
  <c r="I174" i="17"/>
  <c r="J174" i="17"/>
  <c r="O174" i="17" s="1"/>
  <c r="K174" i="17"/>
  <c r="L174" i="17"/>
  <c r="M174" i="17" s="1"/>
  <c r="I175" i="17"/>
  <c r="N175" i="17" s="1"/>
  <c r="J175" i="17"/>
  <c r="O175" i="17" s="1"/>
  <c r="K175" i="17"/>
  <c r="L175" i="17"/>
  <c r="M175" i="17" s="1"/>
  <c r="I176" i="17"/>
  <c r="N176" i="17" s="1"/>
  <c r="J176" i="17"/>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K184" i="17"/>
  <c r="L184" i="17"/>
  <c r="I185" i="17"/>
  <c r="N185" i="17" s="1"/>
  <c r="J185" i="17"/>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I202" i="17"/>
  <c r="N202" i="17" s="1"/>
  <c r="J202" i="17"/>
  <c r="O202" i="17" s="1"/>
  <c r="K202" i="17"/>
  <c r="L202" i="17"/>
  <c r="M202" i="17" s="1"/>
  <c r="I203" i="17"/>
  <c r="N203" i="17" s="1"/>
  <c r="J203" i="17"/>
  <c r="O203" i="17" s="1"/>
  <c r="K203" i="17"/>
  <c r="L203" i="17"/>
  <c r="M203" i="17" s="1"/>
  <c r="I204" i="17"/>
  <c r="N204" i="17" s="1"/>
  <c r="J204" i="17"/>
  <c r="O204" i="17" s="1"/>
  <c r="K204" i="17"/>
  <c r="L204" i="17"/>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K219" i="17"/>
  <c r="L219" i="17"/>
  <c r="M219" i="17" s="1"/>
  <c r="I220" i="17"/>
  <c r="N220" i="17" s="1"/>
  <c r="J220" i="17"/>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I229" i="17"/>
  <c r="J229" i="17"/>
  <c r="O229" i="17" s="1"/>
  <c r="K229" i="17"/>
  <c r="L229" i="17"/>
  <c r="I230" i="17"/>
  <c r="N230" i="17" s="1"/>
  <c r="J230" i="17"/>
  <c r="O230" i="17" s="1"/>
  <c r="K230" i="17"/>
  <c r="L230" i="17"/>
  <c r="M230" i="17" s="1"/>
  <c r="I231" i="17"/>
  <c r="N231" i="17" s="1"/>
  <c r="J231" i="17"/>
  <c r="O231" i="17" s="1"/>
  <c r="K231" i="17"/>
  <c r="L231" i="17"/>
  <c r="M231" i="17" s="1"/>
  <c r="I232" i="17"/>
  <c r="N232" i="17" s="1"/>
  <c r="J232" i="17"/>
  <c r="O232" i="17" s="1"/>
  <c r="K232" i="17"/>
  <c r="L232" i="17"/>
  <c r="I233" i="17"/>
  <c r="J233" i="17"/>
  <c r="O233" i="17" s="1"/>
  <c r="K233" i="17"/>
  <c r="L233" i="17"/>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K252" i="17"/>
  <c r="L252" i="17"/>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I261" i="17"/>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K268" i="17"/>
  <c r="L268" i="17"/>
  <c r="I269" i="17"/>
  <c r="N269" i="17" s="1"/>
  <c r="J269" i="17"/>
  <c r="K269" i="17"/>
  <c r="L269" i="17"/>
  <c r="I270" i="17"/>
  <c r="N270" i="17" s="1"/>
  <c r="J270" i="17"/>
  <c r="O270" i="17" s="1"/>
  <c r="K270" i="17"/>
  <c r="L270" i="17"/>
  <c r="M270" i="17" s="1"/>
  <c r="I271" i="17"/>
  <c r="N271" i="17" s="1"/>
  <c r="J271" i="17"/>
  <c r="O271" i="17" s="1"/>
  <c r="K271" i="17"/>
  <c r="L271" i="17"/>
  <c r="M271" i="17" s="1"/>
  <c r="I272" i="17"/>
  <c r="N272" i="17" s="1"/>
  <c r="J272" i="17"/>
  <c r="K272" i="17"/>
  <c r="L272" i="17"/>
  <c r="M272" i="17" s="1"/>
  <c r="I273" i="17"/>
  <c r="N273" i="17" s="1"/>
  <c r="J273" i="17"/>
  <c r="K273" i="17"/>
  <c r="L273" i="17"/>
  <c r="M273" i="17" s="1"/>
  <c r="I274" i="17"/>
  <c r="N274" i="17" s="1"/>
  <c r="J274" i="17"/>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O280" i="17" s="1"/>
  <c r="K280" i="17"/>
  <c r="L280" i="17"/>
  <c r="I281" i="17"/>
  <c r="N281" i="17" s="1"/>
  <c r="J281" i="17"/>
  <c r="O281" i="17" s="1"/>
  <c r="K281" i="17"/>
  <c r="L281" i="17"/>
  <c r="I282" i="17"/>
  <c r="N282" i="17" s="1"/>
  <c r="J282" i="17"/>
  <c r="O282" i="17" s="1"/>
  <c r="K282" i="17"/>
  <c r="L282" i="17"/>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J299" i="17"/>
  <c r="O299" i="17" s="1"/>
  <c r="K299" i="17"/>
  <c r="L299" i="17"/>
  <c r="M299" i="17" s="1"/>
  <c r="I300" i="17"/>
  <c r="N300" i="17" s="1"/>
  <c r="J300" i="17"/>
  <c r="O300" i="17" s="1"/>
  <c r="K300" i="17"/>
  <c r="L300" i="17"/>
  <c r="I301" i="17"/>
  <c r="N301" i="17" s="1"/>
  <c r="J301" i="17"/>
  <c r="O301" i="17" s="1"/>
  <c r="K301" i="17"/>
  <c r="L301" i="17"/>
  <c r="M301" i="17" s="1"/>
  <c r="I302" i="17"/>
  <c r="N302" i="17" s="1"/>
  <c r="J302" i="17"/>
  <c r="O302" i="17" s="1"/>
  <c r="K302" i="17"/>
  <c r="L302" i="17"/>
  <c r="I303" i="17"/>
  <c r="N303" i="17" s="1"/>
  <c r="J303" i="17"/>
  <c r="O303" i="17" s="1"/>
  <c r="K303" i="17"/>
  <c r="L303" i="17"/>
  <c r="I304" i="17"/>
  <c r="N304" i="17" s="1"/>
  <c r="J304" i="17"/>
  <c r="O304" i="17" s="1"/>
  <c r="K304" i="17"/>
  <c r="L304" i="17"/>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J313" i="17"/>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I320" i="17"/>
  <c r="N320" i="17" s="1"/>
  <c r="J320" i="17"/>
  <c r="O320" i="17" s="1"/>
  <c r="K320" i="17"/>
  <c r="L320" i="17"/>
  <c r="I321" i="17"/>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I325" i="17"/>
  <c r="J325" i="17"/>
  <c r="O325" i="17" s="1"/>
  <c r="K325" i="17"/>
  <c r="L325" i="17"/>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I346" i="17"/>
  <c r="N346" i="17" s="1"/>
  <c r="J346" i="17"/>
  <c r="O346" i="17" s="1"/>
  <c r="K346" i="17"/>
  <c r="L346" i="17"/>
  <c r="I347" i="17"/>
  <c r="N347" i="17" s="1"/>
  <c r="J347" i="17"/>
  <c r="O347" i="17" s="1"/>
  <c r="K347" i="17"/>
  <c r="L347" i="17"/>
  <c r="M347" i="17" s="1"/>
  <c r="I348" i="17"/>
  <c r="N348" i="17" s="1"/>
  <c r="J348" i="17"/>
  <c r="O348" i="17" s="1"/>
  <c r="K348" i="17"/>
  <c r="L348" i="17"/>
  <c r="I349" i="17"/>
  <c r="N349" i="17" s="1"/>
  <c r="J349" i="17"/>
  <c r="O349" i="17" s="1"/>
  <c r="K349" i="17"/>
  <c r="L349" i="17"/>
  <c r="I350" i="17"/>
  <c r="N350" i="17" s="1"/>
  <c r="J350" i="17"/>
  <c r="O350" i="17" s="1"/>
  <c r="K350" i="17"/>
  <c r="L350" i="17"/>
  <c r="I351" i="17"/>
  <c r="N351" i="17" s="1"/>
  <c r="J351" i="17"/>
  <c r="O351" i="17" s="1"/>
  <c r="K351" i="17"/>
  <c r="L351" i="17"/>
  <c r="M351" i="17" s="1"/>
  <c r="I352" i="17"/>
  <c r="N352" i="17" s="1"/>
  <c r="J352" i="17"/>
  <c r="O352" i="17" s="1"/>
  <c r="K352" i="17"/>
  <c r="L352" i="17"/>
  <c r="M352" i="17" s="1"/>
  <c r="I353" i="17"/>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J357" i="17"/>
  <c r="O357" i="17" s="1"/>
  <c r="K357" i="17"/>
  <c r="L357" i="17"/>
  <c r="I358" i="17"/>
  <c r="N358" i="17" s="1"/>
  <c r="J358" i="17"/>
  <c r="O358" i="17" s="1"/>
  <c r="K358" i="17"/>
  <c r="L358" i="17"/>
  <c r="I359" i="17"/>
  <c r="N359" i="17" s="1"/>
  <c r="J359" i="17"/>
  <c r="O359" i="17" s="1"/>
  <c r="K359" i="17"/>
  <c r="L359" i="17"/>
  <c r="M359" i="17" s="1"/>
  <c r="I360" i="17"/>
  <c r="N360" i="17" s="1"/>
  <c r="J360" i="17"/>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J365" i="17"/>
  <c r="O365" i="17" s="1"/>
  <c r="K365" i="17"/>
  <c r="L365" i="17"/>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I378" i="17"/>
  <c r="N378" i="17" s="1"/>
  <c r="J378" i="17"/>
  <c r="O378" i="17" s="1"/>
  <c r="K378" i="17"/>
  <c r="L378" i="17"/>
  <c r="M378" i="17" s="1"/>
  <c r="I379" i="17"/>
  <c r="N379" i="17" s="1"/>
  <c r="J379" i="17"/>
  <c r="O379" i="17" s="1"/>
  <c r="K379" i="17"/>
  <c r="L379" i="17"/>
  <c r="M379" i="17" s="1"/>
  <c r="I380" i="17"/>
  <c r="N380" i="17" s="1"/>
  <c r="J380" i="17"/>
  <c r="O380" i="17" s="1"/>
  <c r="K380" i="17"/>
  <c r="L380" i="17"/>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I397" i="17"/>
  <c r="N397" i="17" s="1"/>
  <c r="J397" i="17"/>
  <c r="O397" i="17" s="1"/>
  <c r="K397" i="17"/>
  <c r="L397" i="17"/>
  <c r="I398" i="17"/>
  <c r="N398" i="17" s="1"/>
  <c r="J398" i="17"/>
  <c r="O398" i="17" s="1"/>
  <c r="K398" i="17"/>
  <c r="L398" i="17"/>
  <c r="I399" i="17"/>
  <c r="N399" i="17" s="1"/>
  <c r="J399" i="17"/>
  <c r="O399" i="17" s="1"/>
  <c r="K399" i="17"/>
  <c r="L399" i="17"/>
  <c r="I400" i="17"/>
  <c r="N400" i="17" s="1"/>
  <c r="J400" i="17"/>
  <c r="K400" i="17"/>
  <c r="L400" i="17"/>
  <c r="M400" i="17" s="1"/>
  <c r="I401" i="17"/>
  <c r="N401" i="17" s="1"/>
  <c r="J401" i="17"/>
  <c r="K401" i="17"/>
  <c r="L401" i="17"/>
  <c r="M401" i="17" s="1"/>
  <c r="I402" i="17"/>
  <c r="N402" i="17" s="1"/>
  <c r="J402" i="17"/>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I421" i="17"/>
  <c r="N421" i="17" s="1"/>
  <c r="J421" i="17"/>
  <c r="O421" i="17" s="1"/>
  <c r="K421" i="17"/>
  <c r="L421" i="17"/>
  <c r="M421" i="17" s="1"/>
  <c r="I422" i="17"/>
  <c r="N422" i="17" s="1"/>
  <c r="J422" i="17"/>
  <c r="O422" i="17" s="1"/>
  <c r="K422" i="17"/>
  <c r="L422" i="17"/>
  <c r="I423" i="17"/>
  <c r="N423" i="17" s="1"/>
  <c r="J423" i="17"/>
  <c r="O423" i="17" s="1"/>
  <c r="K423" i="17"/>
  <c r="L423" i="17"/>
  <c r="I424" i="17"/>
  <c r="N424" i="17" s="1"/>
  <c r="J424" i="17"/>
  <c r="O424" i="17" s="1"/>
  <c r="K424" i="17"/>
  <c r="L424" i="17"/>
  <c r="I425" i="17"/>
  <c r="N425" i="17" s="1"/>
  <c r="J425" i="17"/>
  <c r="O425" i="17" s="1"/>
  <c r="K425" i="17"/>
  <c r="L425" i="17"/>
  <c r="I426" i="17"/>
  <c r="N426" i="17" s="1"/>
  <c r="J426" i="17"/>
  <c r="O426" i="17" s="1"/>
  <c r="K426" i="17"/>
  <c r="L426" i="17"/>
  <c r="M426" i="17" s="1"/>
  <c r="I427" i="17"/>
  <c r="N427" i="17" s="1"/>
  <c r="J427" i="17"/>
  <c r="O427" i="17" s="1"/>
  <c r="K427" i="17"/>
  <c r="L427" i="17"/>
  <c r="I428" i="17"/>
  <c r="N428" i="17" s="1"/>
  <c r="J428" i="17"/>
  <c r="O428" i="17" s="1"/>
  <c r="K428" i="17"/>
  <c r="L428" i="17"/>
  <c r="M428" i="17" s="1"/>
  <c r="I429" i="17"/>
  <c r="J429" i="17"/>
  <c r="K429" i="17"/>
  <c r="L429" i="17"/>
  <c r="M429" i="17" s="1"/>
  <c r="I430" i="17"/>
  <c r="J430" i="17"/>
  <c r="K430" i="17"/>
  <c r="L430" i="17"/>
  <c r="M430" i="17" s="1"/>
  <c r="I431" i="17"/>
  <c r="N431" i="17" s="1"/>
  <c r="J431" i="17"/>
  <c r="O431" i="17" s="1"/>
  <c r="K431" i="17"/>
  <c r="L431" i="17"/>
  <c r="M431" i="17" s="1"/>
  <c r="I432" i="17"/>
  <c r="N432" i="17" s="1"/>
  <c r="J432" i="17"/>
  <c r="O432" i="17" s="1"/>
  <c r="K432" i="17"/>
  <c r="L432" i="17"/>
  <c r="M432" i="17" s="1"/>
  <c r="I433" i="17"/>
  <c r="J433" i="17"/>
  <c r="O433" i="17" s="1"/>
  <c r="K433" i="17"/>
  <c r="L433" i="17"/>
  <c r="M433" i="17" s="1"/>
  <c r="I434" i="17"/>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I441" i="17"/>
  <c r="N441" i="17" s="1"/>
  <c r="J441" i="17"/>
  <c r="O441" i="17" s="1"/>
  <c r="K441" i="17"/>
  <c r="L441" i="17"/>
  <c r="I442" i="17"/>
  <c r="N442" i="17" s="1"/>
  <c r="J442" i="17"/>
  <c r="O442" i="17" s="1"/>
  <c r="K442" i="17"/>
  <c r="L442" i="17"/>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N463" i="17" s="1"/>
  <c r="J463" i="17"/>
  <c r="O463" i="17" s="1"/>
  <c r="K463" i="17"/>
  <c r="L463" i="17"/>
  <c r="I464" i="17"/>
  <c r="N464" i="17" s="1"/>
  <c r="J464" i="17"/>
  <c r="O464" i="17" s="1"/>
  <c r="K464" i="17"/>
  <c r="L464" i="17"/>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I469" i="17"/>
  <c r="N469" i="17" s="1"/>
  <c r="J469" i="17"/>
  <c r="O469" i="17" s="1"/>
  <c r="K469" i="17"/>
  <c r="L469" i="17"/>
  <c r="I470" i="17"/>
  <c r="N470" i="17" s="1"/>
  <c r="J470" i="17"/>
  <c r="O470" i="17" s="1"/>
  <c r="K470" i="17"/>
  <c r="L470" i="17"/>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K476" i="17"/>
  <c r="L476" i="17"/>
  <c r="I477" i="17"/>
  <c r="N477" i="17" s="1"/>
  <c r="J477" i="17"/>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K489" i="17"/>
  <c r="L489" i="17"/>
  <c r="M489" i="17" s="1"/>
  <c r="I490" i="17"/>
  <c r="N490" i="17" s="1"/>
  <c r="J490" i="17"/>
  <c r="O490" i="17" s="1"/>
  <c r="K490" i="17"/>
  <c r="L490" i="17"/>
  <c r="M490" i="17" s="1"/>
  <c r="I491" i="17"/>
  <c r="N491" i="17" s="1"/>
  <c r="J491" i="17"/>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I501" i="17"/>
  <c r="N501" i="17" s="1"/>
  <c r="J501" i="17"/>
  <c r="O501" i="17" s="1"/>
  <c r="K501" i="17"/>
  <c r="L501" i="17"/>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J509" i="17"/>
  <c r="O509" i="17" s="1"/>
  <c r="K509" i="17"/>
  <c r="L509" i="17"/>
  <c r="M509" i="17" s="1"/>
  <c r="I510" i="17"/>
  <c r="N510" i="17" s="1"/>
  <c r="J510" i="17"/>
  <c r="O510" i="17" s="1"/>
  <c r="K510" i="17"/>
  <c r="L510" i="17"/>
  <c r="M510" i="17" s="1"/>
  <c r="I511" i="17"/>
  <c r="J511" i="17"/>
  <c r="O511" i="17" s="1"/>
  <c r="K511" i="17"/>
  <c r="L511" i="17"/>
  <c r="M511" i="17" s="1"/>
  <c r="I512" i="17"/>
  <c r="N512" i="17" s="1"/>
  <c r="J512" i="17"/>
  <c r="O512" i="17" s="1"/>
  <c r="K512" i="17"/>
  <c r="L512" i="17"/>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I517" i="17"/>
  <c r="N517" i="17" s="1"/>
  <c r="J517" i="17"/>
  <c r="O517" i="17" s="1"/>
  <c r="K517" i="17"/>
  <c r="L517" i="17"/>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N538" i="17" s="1"/>
  <c r="J538" i="17"/>
  <c r="O538" i="17" s="1"/>
  <c r="K538" i="17"/>
  <c r="L538" i="17"/>
  <c r="M538" i="17" s="1"/>
  <c r="I539" i="17"/>
  <c r="N539" i="17" s="1"/>
  <c r="J539" i="17"/>
  <c r="O539" i="17" s="1"/>
  <c r="K539" i="17"/>
  <c r="L539" i="17"/>
  <c r="M539" i="17" s="1"/>
  <c r="I540" i="17"/>
  <c r="N540" i="17" s="1"/>
  <c r="J540" i="17"/>
  <c r="K540" i="17"/>
  <c r="L540" i="17"/>
  <c r="I541" i="17"/>
  <c r="N541" i="17" s="1"/>
  <c r="J541" i="17"/>
  <c r="O541" i="17" s="1"/>
  <c r="K541" i="17"/>
  <c r="L541" i="17"/>
  <c r="I542" i="17"/>
  <c r="N542" i="17" s="1"/>
  <c r="J542" i="17"/>
  <c r="O542" i="17" s="1"/>
  <c r="K542" i="17"/>
  <c r="L542" i="17"/>
  <c r="M542" i="17" s="1"/>
  <c r="I543" i="17"/>
  <c r="N543" i="17" s="1"/>
  <c r="J543" i="17"/>
  <c r="O543" i="17" s="1"/>
  <c r="K543" i="17"/>
  <c r="L543" i="17"/>
  <c r="M543" i="17" s="1"/>
  <c r="I544" i="17"/>
  <c r="N544" i="17" s="1"/>
  <c r="J544" i="17"/>
  <c r="O544" i="17" s="1"/>
  <c r="K544" i="17"/>
  <c r="L544" i="17"/>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I549" i="17"/>
  <c r="N549" i="17" s="1"/>
  <c r="J549" i="17"/>
  <c r="O549" i="17" s="1"/>
  <c r="K549" i="17"/>
  <c r="L549" i="17"/>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J557" i="17"/>
  <c r="O557" i="17" s="1"/>
  <c r="K557" i="17"/>
  <c r="L557" i="17"/>
  <c r="M557" i="17" s="1"/>
  <c r="I558" i="17"/>
  <c r="N558" i="17" s="1"/>
  <c r="J558" i="17"/>
  <c r="O558" i="17" s="1"/>
  <c r="K558" i="17"/>
  <c r="L558" i="17"/>
  <c r="M558" i="17" s="1"/>
  <c r="I559" i="17"/>
  <c r="N559" i="17" s="1"/>
  <c r="J559" i="17"/>
  <c r="O559" i="17" s="1"/>
  <c r="K559" i="17"/>
  <c r="L559" i="17"/>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K568" i="17"/>
  <c r="L568" i="17"/>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I574" i="17"/>
  <c r="N574" i="17" s="1"/>
  <c r="J574" i="17"/>
  <c r="O574" i="17" s="1"/>
  <c r="K574" i="17"/>
  <c r="L574" i="17"/>
  <c r="I575" i="17"/>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I585" i="17"/>
  <c r="N585" i="17" s="1"/>
  <c r="J585" i="17"/>
  <c r="O585" i="17" s="1"/>
  <c r="K585" i="17"/>
  <c r="L585" i="17"/>
  <c r="I586" i="17"/>
  <c r="N586" i="17" s="1"/>
  <c r="J586" i="17"/>
  <c r="O586" i="17" s="1"/>
  <c r="K586" i="17"/>
  <c r="L586" i="17"/>
  <c r="M586" i="17" s="1"/>
  <c r="I587" i="17"/>
  <c r="N587" i="17" s="1"/>
  <c r="J587" i="17"/>
  <c r="O587" i="17" s="1"/>
  <c r="K587" i="17"/>
  <c r="L587" i="17"/>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I597" i="17"/>
  <c r="N597" i="17" s="1"/>
  <c r="J597" i="17"/>
  <c r="O597" i="17" s="1"/>
  <c r="K597" i="17"/>
  <c r="L597" i="17"/>
  <c r="M597" i="17" s="1"/>
  <c r="I598" i="17"/>
  <c r="N598" i="17" s="1"/>
  <c r="J598" i="17"/>
  <c r="O598" i="17" s="1"/>
  <c r="K598" i="17"/>
  <c r="L598" i="17"/>
  <c r="M598" i="17" s="1"/>
  <c r="I599" i="17"/>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K605" i="17"/>
  <c r="L605" i="17"/>
  <c r="M605" i="17" s="1"/>
  <c r="I606" i="17"/>
  <c r="N606" i="17" s="1"/>
  <c r="J606" i="17"/>
  <c r="O606" i="17" s="1"/>
  <c r="K606" i="17"/>
  <c r="L606" i="17"/>
  <c r="M606" i="17" s="1"/>
  <c r="I607" i="17"/>
  <c r="J607" i="17"/>
  <c r="O607" i="17" s="1"/>
  <c r="K607" i="17"/>
  <c r="L607" i="17"/>
  <c r="M607" i="17" s="1"/>
  <c r="I608" i="17"/>
  <c r="N608" i="17" s="1"/>
  <c r="J608" i="17"/>
  <c r="O608" i="17" s="1"/>
  <c r="K608" i="17"/>
  <c r="L608" i="17"/>
  <c r="M608" i="17" s="1"/>
  <c r="I609" i="17"/>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J615" i="17"/>
  <c r="O615" i="17" s="1"/>
  <c r="K615" i="17"/>
  <c r="L615" i="17"/>
  <c r="M615" i="17" s="1"/>
  <c r="I616" i="17"/>
  <c r="N616" i="17" s="1"/>
  <c r="J616" i="17"/>
  <c r="O616" i="17" s="1"/>
  <c r="K616" i="17"/>
  <c r="L616" i="17"/>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I621" i="17"/>
  <c r="N621" i="17" s="1"/>
  <c r="J621" i="17"/>
  <c r="O621" i="17" s="1"/>
  <c r="K621" i="17"/>
  <c r="L621" i="17"/>
  <c r="I622" i="17"/>
  <c r="N622" i="17" s="1"/>
  <c r="J622" i="17"/>
  <c r="O622" i="17" s="1"/>
  <c r="K622" i="17"/>
  <c r="L622" i="17"/>
  <c r="M622" i="17" s="1"/>
  <c r="I623" i="17"/>
  <c r="N623" i="17" s="1"/>
  <c r="J623" i="17"/>
  <c r="O623" i="17" s="1"/>
  <c r="K623" i="17"/>
  <c r="L623" i="17"/>
  <c r="M623" i="17" s="1"/>
  <c r="I624" i="17"/>
  <c r="N624" i="17" s="1"/>
  <c r="J624" i="17"/>
  <c r="K624" i="17"/>
  <c r="L624" i="17"/>
  <c r="M624" i="17" s="1"/>
  <c r="I625" i="17"/>
  <c r="N625" i="17" s="1"/>
  <c r="J625" i="17"/>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J643" i="17"/>
  <c r="O643" i="17" s="1"/>
  <c r="K643" i="17"/>
  <c r="L643" i="17"/>
  <c r="M643" i="17" s="1"/>
  <c r="I644" i="17"/>
  <c r="N644" i="17" s="1"/>
  <c r="J644" i="17"/>
  <c r="O644" i="17" s="1"/>
  <c r="K644" i="17"/>
  <c r="L644" i="17"/>
  <c r="M644" i="17" s="1"/>
  <c r="I645" i="17"/>
  <c r="N645" i="17" s="1"/>
  <c r="J645" i="17"/>
  <c r="O645" i="17" s="1"/>
  <c r="K645" i="17"/>
  <c r="L645" i="17"/>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I661" i="17"/>
  <c r="J661" i="17"/>
  <c r="O661" i="17" s="1"/>
  <c r="K661" i="17"/>
  <c r="L661" i="17"/>
  <c r="I662" i="17"/>
  <c r="N662" i="17" s="1"/>
  <c r="J662" i="17"/>
  <c r="O662" i="17" s="1"/>
  <c r="K662" i="17"/>
  <c r="L662" i="17"/>
  <c r="M662" i="17" s="1"/>
  <c r="I663" i="17"/>
  <c r="N663" i="17" s="1"/>
  <c r="J663" i="17"/>
  <c r="O663" i="17" s="1"/>
  <c r="K663" i="17"/>
  <c r="L663" i="17"/>
  <c r="M663" i="17" s="1"/>
  <c r="I664" i="17"/>
  <c r="N664" i="17" s="1"/>
  <c r="J664" i="17"/>
  <c r="O664" i="17" s="1"/>
  <c r="K664" i="17"/>
  <c r="L664" i="17"/>
  <c r="I665" i="17"/>
  <c r="N665" i="17" s="1"/>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K669" i="17"/>
  <c r="L669" i="17"/>
  <c r="M669" i="17" s="1"/>
  <c r="I670" i="17"/>
  <c r="N670" i="17" s="1"/>
  <c r="J670" i="17"/>
  <c r="O670" i="17" s="1"/>
  <c r="K670" i="17"/>
  <c r="L670" i="17"/>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J691" i="17"/>
  <c r="O691" i="17" s="1"/>
  <c r="K691" i="17"/>
  <c r="L691" i="17"/>
  <c r="M691" i="17" s="1"/>
  <c r="I692" i="17"/>
  <c r="N692" i="17" s="1"/>
  <c r="J692" i="17"/>
  <c r="O692" i="17" s="1"/>
  <c r="K692" i="17"/>
  <c r="L692" i="17"/>
  <c r="M692" i="17" s="1"/>
  <c r="I693" i="17"/>
  <c r="N693" i="17" s="1"/>
  <c r="J693" i="17"/>
  <c r="O693" i="17" s="1"/>
  <c r="K693" i="17"/>
  <c r="L693" i="17"/>
  <c r="I694" i="17"/>
  <c r="N694" i="17" s="1"/>
  <c r="J694" i="17"/>
  <c r="O694" i="17" s="1"/>
  <c r="K694" i="17"/>
  <c r="L694" i="17"/>
  <c r="I695" i="17"/>
  <c r="N695" i="17" s="1"/>
  <c r="J695" i="17"/>
  <c r="O695" i="17" s="1"/>
  <c r="K695" i="17"/>
  <c r="L695" i="17"/>
  <c r="M695" i="17" s="1"/>
  <c r="I696" i="17"/>
  <c r="N696" i="17" s="1"/>
  <c r="J696" i="17"/>
  <c r="K696" i="17"/>
  <c r="L696" i="17"/>
  <c r="I697" i="17"/>
  <c r="N697" i="17" s="1"/>
  <c r="J697" i="17"/>
  <c r="K697" i="17"/>
  <c r="L697" i="17"/>
  <c r="M697" i="17" s="1"/>
  <c r="I698" i="17"/>
  <c r="N698" i="17" s="1"/>
  <c r="J698" i="17"/>
  <c r="O698" i="17" s="1"/>
  <c r="K698" i="17"/>
  <c r="L698" i="17"/>
  <c r="M698" i="17" s="1"/>
  <c r="I699" i="17"/>
  <c r="N699" i="17" s="1"/>
  <c r="J699" i="17"/>
  <c r="K699" i="17"/>
  <c r="L699" i="17"/>
  <c r="M699" i="17" s="1"/>
  <c r="I700" i="17"/>
  <c r="N700" i="17" s="1"/>
  <c r="J700" i="17"/>
  <c r="O700" i="17" s="1"/>
  <c r="K700" i="17"/>
  <c r="L700" i="17"/>
  <c r="M700" i="17" s="1"/>
  <c r="I701" i="17"/>
  <c r="J701" i="17"/>
  <c r="O701" i="17" s="1"/>
  <c r="K701" i="17"/>
  <c r="L701" i="17"/>
  <c r="M701" i="17" s="1"/>
  <c r="I702" i="17"/>
  <c r="N702" i="17" s="1"/>
  <c r="J702" i="17"/>
  <c r="O702" i="17" s="1"/>
  <c r="K702" i="17"/>
  <c r="L702" i="17"/>
  <c r="M702" i="17" s="1"/>
  <c r="I703" i="17"/>
  <c r="J703" i="17"/>
  <c r="O703" i="17" s="1"/>
  <c r="K703" i="17"/>
  <c r="L703" i="17"/>
  <c r="M703" i="17" s="1"/>
  <c r="I704" i="17"/>
  <c r="N704" i="17" s="1"/>
  <c r="J704" i="17"/>
  <c r="O704" i="17" s="1"/>
  <c r="K704" i="17"/>
  <c r="L704" i="17"/>
  <c r="I705" i="17"/>
  <c r="J705" i="17"/>
  <c r="O705" i="17" s="1"/>
  <c r="K705" i="17"/>
  <c r="L705" i="17"/>
  <c r="M705" i="17" s="1"/>
  <c r="I706" i="17"/>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I713" i="17"/>
  <c r="N713" i="17" s="1"/>
  <c r="J713" i="17"/>
  <c r="O713" i="17" s="1"/>
  <c r="K713" i="17"/>
  <c r="L713" i="17"/>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J733" i="17"/>
  <c r="O733" i="17" s="1"/>
  <c r="K733" i="17"/>
  <c r="L733" i="17"/>
  <c r="I734" i="17"/>
  <c r="N734" i="17" s="1"/>
  <c r="J734" i="17"/>
  <c r="O734" i="17" s="1"/>
  <c r="K734" i="17"/>
  <c r="L734" i="17"/>
  <c r="I735" i="17"/>
  <c r="N735" i="17" s="1"/>
  <c r="J735" i="17"/>
  <c r="O735" i="17" s="1"/>
  <c r="K735" i="17"/>
  <c r="L735" i="17"/>
  <c r="M735" i="17" s="1"/>
  <c r="I736" i="17"/>
  <c r="N736" i="17" s="1"/>
  <c r="J736" i="17"/>
  <c r="O736" i="17" s="1"/>
  <c r="K736" i="17"/>
  <c r="L736" i="17"/>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K748" i="17"/>
  <c r="L748" i="17"/>
  <c r="M748" i="17" s="1"/>
  <c r="I749" i="17"/>
  <c r="N749" i="17" s="1"/>
  <c r="J749" i="17"/>
  <c r="O749" i="17" s="1"/>
  <c r="K749" i="17"/>
  <c r="L749" i="17"/>
  <c r="M749" i="17" s="1"/>
  <c r="I750" i="17"/>
  <c r="N750" i="17" s="1"/>
  <c r="J750" i="17"/>
  <c r="O750" i="17" s="1"/>
  <c r="K750" i="17"/>
  <c r="L750" i="17"/>
  <c r="M750" i="17" s="1"/>
  <c r="I751" i="17"/>
  <c r="J751" i="17"/>
  <c r="O751" i="17" s="1"/>
  <c r="K751" i="17"/>
  <c r="L751" i="17"/>
  <c r="M751" i="17" s="1"/>
  <c r="I752" i="17"/>
  <c r="N752" i="17" s="1"/>
  <c r="J752" i="17"/>
  <c r="O752" i="17" s="1"/>
  <c r="K752" i="17"/>
  <c r="L752" i="17"/>
  <c r="M752" i="17" s="1"/>
  <c r="I753" i="17"/>
  <c r="J753" i="17"/>
  <c r="O753" i="17" s="1"/>
  <c r="K753" i="17"/>
  <c r="L753" i="17"/>
  <c r="M753" i="17" s="1"/>
  <c r="I754" i="17"/>
  <c r="J754" i="17"/>
  <c r="O754" i="17" s="1"/>
  <c r="K754" i="17"/>
  <c r="L754" i="17"/>
  <c r="M754" i="17" s="1"/>
  <c r="I755" i="17"/>
  <c r="N755" i="17" s="1"/>
  <c r="J755" i="17"/>
  <c r="O755" i="17" s="1"/>
  <c r="K755" i="17"/>
  <c r="L755" i="17"/>
  <c r="M755" i="17" s="1"/>
  <c r="I756" i="17"/>
  <c r="N756" i="17" s="1"/>
  <c r="J756" i="17"/>
  <c r="O756" i="17" s="1"/>
  <c r="K756" i="17"/>
  <c r="L756" i="17"/>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K760" i="17"/>
  <c r="L760" i="17"/>
  <c r="M760" i="17" s="1"/>
  <c r="I761" i="17"/>
  <c r="N761" i="17" s="1"/>
  <c r="J761" i="17"/>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I781" i="17"/>
  <c r="J781" i="17"/>
  <c r="O781" i="17" s="1"/>
  <c r="K781" i="17"/>
  <c r="L781" i="17"/>
  <c r="I782" i="17"/>
  <c r="N782" i="17" s="1"/>
  <c r="J782" i="17"/>
  <c r="O782" i="17" s="1"/>
  <c r="K782" i="17"/>
  <c r="L782" i="17"/>
  <c r="M782" i="17" s="1"/>
  <c r="I783" i="17"/>
  <c r="N783" i="17" s="1"/>
  <c r="J783" i="17"/>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J789" i="17"/>
  <c r="O789" i="17" s="1"/>
  <c r="K789" i="17"/>
  <c r="L789" i="17"/>
  <c r="M789" i="17" s="1"/>
  <c r="I790" i="17"/>
  <c r="N790" i="17" s="1"/>
  <c r="J790" i="17"/>
  <c r="O790" i="17" s="1"/>
  <c r="K790" i="17"/>
  <c r="L790" i="17"/>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I812" i="17"/>
  <c r="N812" i="17" s="1"/>
  <c r="J812" i="17"/>
  <c r="O812" i="17" s="1"/>
  <c r="K812" i="17"/>
  <c r="L812" i="17"/>
  <c r="I813" i="17"/>
  <c r="N813" i="17" s="1"/>
  <c r="J813" i="17"/>
  <c r="O813" i="17" s="1"/>
  <c r="K813" i="17"/>
  <c r="L813" i="17"/>
  <c r="I814" i="17"/>
  <c r="N814" i="17" s="1"/>
  <c r="J814" i="17"/>
  <c r="O814" i="17" s="1"/>
  <c r="K814" i="17"/>
  <c r="L814" i="17"/>
  <c r="M814" i="17" s="1"/>
  <c r="I815" i="17"/>
  <c r="N815" i="17" s="1"/>
  <c r="J815" i="17"/>
  <c r="O815" i="17" s="1"/>
  <c r="K815" i="17"/>
  <c r="L815" i="17"/>
  <c r="I816" i="17"/>
  <c r="N816" i="17" s="1"/>
  <c r="J816" i="17"/>
  <c r="O816" i="17" s="1"/>
  <c r="K816" i="17"/>
  <c r="L816" i="17"/>
  <c r="M816" i="17" s="1"/>
  <c r="I817" i="17"/>
  <c r="N817" i="17" s="1"/>
  <c r="J817" i="17"/>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I829" i="17"/>
  <c r="N829" i="17" s="1"/>
  <c r="J829" i="17"/>
  <c r="O829" i="17" s="1"/>
  <c r="K829" i="17"/>
  <c r="L829" i="17"/>
  <c r="I830" i="17"/>
  <c r="J830" i="17"/>
  <c r="O830" i="17" s="1"/>
  <c r="K830" i="17"/>
  <c r="L830" i="17"/>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J834" i="17"/>
  <c r="O834" i="17" s="1"/>
  <c r="K834" i="17"/>
  <c r="L834" i="17"/>
  <c r="M834" i="17" s="1"/>
  <c r="I835" i="17"/>
  <c r="N835" i="17" s="1"/>
  <c r="J835" i="17"/>
  <c r="O835" i="17" s="1"/>
  <c r="K835" i="17"/>
  <c r="L835" i="17"/>
  <c r="M835" i="17" s="1"/>
  <c r="I836" i="17"/>
  <c r="N836" i="17" s="1"/>
  <c r="J836" i="17"/>
  <c r="O836" i="17" s="1"/>
  <c r="K836" i="17"/>
  <c r="L836" i="17"/>
  <c r="M836" i="17" s="1"/>
  <c r="I837" i="17"/>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I854" i="17"/>
  <c r="N854" i="17" s="1"/>
  <c r="J854" i="17"/>
  <c r="O854" i="17" s="1"/>
  <c r="K854" i="17"/>
  <c r="L854" i="17"/>
  <c r="I855" i="17"/>
  <c r="N855" i="17" s="1"/>
  <c r="J855" i="17"/>
  <c r="O855" i="17" s="1"/>
  <c r="K855" i="17"/>
  <c r="L855" i="17"/>
  <c r="M855" i="17" s="1"/>
  <c r="I856" i="17"/>
  <c r="N856" i="17" s="1"/>
  <c r="J856" i="17"/>
  <c r="O856" i="17" s="1"/>
  <c r="K856" i="17"/>
  <c r="L856" i="17"/>
  <c r="I857" i="17"/>
  <c r="N857" i="17" s="1"/>
  <c r="J857" i="17"/>
  <c r="O857" i="17" s="1"/>
  <c r="K857" i="17"/>
  <c r="L857" i="17"/>
  <c r="I858" i="17"/>
  <c r="N858" i="17" s="1"/>
  <c r="J858" i="17"/>
  <c r="O858" i="17" s="1"/>
  <c r="K858" i="17"/>
  <c r="L858" i="17"/>
  <c r="I859" i="17"/>
  <c r="N859" i="17" s="1"/>
  <c r="J859" i="17"/>
  <c r="O859" i="17" s="1"/>
  <c r="K859" i="17"/>
  <c r="L859" i="17"/>
  <c r="M859" i="17" s="1"/>
  <c r="I860" i="17"/>
  <c r="N860" i="17" s="1"/>
  <c r="J860" i="17"/>
  <c r="O860" i="17" s="1"/>
  <c r="K860" i="17"/>
  <c r="L860" i="17"/>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K877" i="17"/>
  <c r="L877" i="17"/>
  <c r="M877" i="17" s="1"/>
  <c r="I878" i="17"/>
  <c r="N878" i="17" s="1"/>
  <c r="J878" i="17"/>
  <c r="O878" i="17" s="1"/>
  <c r="K878" i="17"/>
  <c r="L878" i="17"/>
  <c r="M878" i="17" s="1"/>
  <c r="I879" i="17"/>
  <c r="J879" i="17"/>
  <c r="O879" i="17" s="1"/>
  <c r="K879" i="17"/>
  <c r="L879" i="17"/>
  <c r="M879" i="17" s="1"/>
  <c r="I880" i="17"/>
  <c r="N880" i="17" s="1"/>
  <c r="J880" i="17"/>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I885" i="17"/>
  <c r="J885" i="17"/>
  <c r="O885" i="17" s="1"/>
  <c r="K885" i="17"/>
  <c r="L885" i="17"/>
  <c r="M885" i="17" s="1"/>
  <c r="I886" i="17"/>
  <c r="J886" i="17"/>
  <c r="O886" i="17" s="1"/>
  <c r="K886" i="17"/>
  <c r="L886" i="17"/>
  <c r="M886" i="17" s="1"/>
  <c r="I887" i="17"/>
  <c r="N887" i="17" s="1"/>
  <c r="J887" i="17"/>
  <c r="O887" i="17" s="1"/>
  <c r="K887" i="17"/>
  <c r="L887" i="17"/>
  <c r="M887" i="17" s="1"/>
  <c r="I888" i="17"/>
  <c r="N888" i="17" s="1"/>
  <c r="J888" i="17"/>
  <c r="O888" i="17" s="1"/>
  <c r="K888" i="17"/>
  <c r="L888" i="17"/>
  <c r="I889" i="17"/>
  <c r="N889" i="17" s="1"/>
  <c r="J889" i="17"/>
  <c r="O889" i="17" s="1"/>
  <c r="K889" i="17"/>
  <c r="L889" i="17"/>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I908" i="17"/>
  <c r="N908" i="17" s="1"/>
  <c r="J908" i="17"/>
  <c r="K908" i="17"/>
  <c r="L908" i="17"/>
  <c r="M908" i="17" s="1"/>
  <c r="I909" i="17"/>
  <c r="N909" i="17" s="1"/>
  <c r="J909" i="17"/>
  <c r="K909" i="17"/>
  <c r="L909" i="17"/>
  <c r="M909" i="17" s="1"/>
  <c r="I910" i="17"/>
  <c r="N910" i="17" s="1"/>
  <c r="J910" i="17"/>
  <c r="O910" i="17" s="1"/>
  <c r="K910" i="17"/>
  <c r="L910" i="17"/>
  <c r="M910" i="17" s="1"/>
  <c r="I911" i="17"/>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K914" i="17"/>
  <c r="L914" i="17"/>
  <c r="M914" i="17" s="1"/>
  <c r="I915" i="17"/>
  <c r="J915" i="17"/>
  <c r="O915" i="17" s="1"/>
  <c r="K915" i="17"/>
  <c r="L915" i="17"/>
  <c r="M915" i="17" s="1"/>
  <c r="I916" i="17"/>
  <c r="N916" i="17" s="1"/>
  <c r="J916" i="17"/>
  <c r="O916" i="17" s="1"/>
  <c r="K916" i="17"/>
  <c r="L916" i="17"/>
  <c r="M916" i="17" s="1"/>
  <c r="I917" i="17"/>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I933" i="17"/>
  <c r="N933" i="17" s="1"/>
  <c r="J933" i="17"/>
  <c r="O933" i="17" s="1"/>
  <c r="K933" i="17"/>
  <c r="L933" i="17"/>
  <c r="I934" i="17"/>
  <c r="N934" i="17" s="1"/>
  <c r="J934" i="17"/>
  <c r="O934" i="17" s="1"/>
  <c r="K934" i="17"/>
  <c r="L934" i="17"/>
  <c r="M934" i="17" s="1"/>
  <c r="I935" i="17"/>
  <c r="N935" i="17" s="1"/>
  <c r="J935" i="17"/>
  <c r="O935" i="17" s="1"/>
  <c r="K935" i="17"/>
  <c r="L935" i="17"/>
  <c r="I936" i="17"/>
  <c r="N936" i="17" s="1"/>
  <c r="J936" i="17"/>
  <c r="O936" i="17" s="1"/>
  <c r="K936" i="17"/>
  <c r="L936" i="17"/>
  <c r="I937" i="17"/>
  <c r="N937" i="17" s="1"/>
  <c r="J937" i="17"/>
  <c r="O937" i="17" s="1"/>
  <c r="K937" i="17"/>
  <c r="L937" i="17"/>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J947" i="17"/>
  <c r="O947" i="17" s="1"/>
  <c r="K947" i="17"/>
  <c r="L947" i="17"/>
  <c r="M947" i="17" s="1"/>
  <c r="I948" i="17"/>
  <c r="N948" i="17" s="1"/>
  <c r="J948" i="17"/>
  <c r="O948" i="17" s="1"/>
  <c r="K948" i="17"/>
  <c r="L948" i="17"/>
  <c r="M948" i="17" s="1"/>
  <c r="I949" i="17"/>
  <c r="N949" i="17" s="1"/>
  <c r="J949" i="17"/>
  <c r="O949" i="17" s="1"/>
  <c r="K949" i="17"/>
  <c r="L949" i="17"/>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I958" i="17"/>
  <c r="N958" i="17" s="1"/>
  <c r="J958" i="17"/>
  <c r="O958" i="17" s="1"/>
  <c r="K958" i="17"/>
  <c r="L958" i="17"/>
  <c r="I959" i="17"/>
  <c r="N959" i="17" s="1"/>
  <c r="J959" i="17"/>
  <c r="O959" i="17" s="1"/>
  <c r="K959" i="17"/>
  <c r="L959" i="17"/>
  <c r="M959" i="17" s="1"/>
  <c r="I960" i="17"/>
  <c r="N960" i="17" s="1"/>
  <c r="J960" i="17"/>
  <c r="O960" i="17" s="1"/>
  <c r="K960" i="17"/>
  <c r="L960" i="17"/>
  <c r="M960" i="17" s="1"/>
  <c r="I961" i="17"/>
  <c r="N961" i="17" s="1"/>
  <c r="J961" i="17"/>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J967" i="17"/>
  <c r="O967" i="17" s="1"/>
  <c r="K967" i="17"/>
  <c r="L967" i="17"/>
  <c r="M967" i="17" s="1"/>
  <c r="I968" i="17"/>
  <c r="N968" i="17" s="1"/>
  <c r="J968" i="17"/>
  <c r="K968" i="17"/>
  <c r="L968" i="17"/>
  <c r="M968" i="17" s="1"/>
  <c r="I969" i="17"/>
  <c r="N969" i="17" s="1"/>
  <c r="J969" i="17"/>
  <c r="O969" i="17" s="1"/>
  <c r="K969" i="17"/>
  <c r="L969" i="17"/>
  <c r="M969" i="17" s="1"/>
  <c r="I970" i="17"/>
  <c r="N970" i="17" s="1"/>
  <c r="J970" i="17"/>
  <c r="O970" i="17" s="1"/>
  <c r="K970" i="17"/>
  <c r="L970" i="17"/>
  <c r="M970" i="17" s="1"/>
  <c r="I971" i="17"/>
  <c r="N971" i="17" s="1"/>
  <c r="J971" i="17"/>
  <c r="K971" i="17"/>
  <c r="L971" i="17"/>
  <c r="M971" i="17" s="1"/>
  <c r="I972" i="17"/>
  <c r="N972" i="17" s="1"/>
  <c r="J972" i="17"/>
  <c r="O972" i="17" s="1"/>
  <c r="K972" i="17"/>
  <c r="L972" i="17"/>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<sst xmlns="http://schemas.openxmlformats.org/spreadsheetml/2006/main" count="11128" uniqueCount="6217">
  <si>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</si>
  <si>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</si>
  <si>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</si>
  <si>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</si>
  <si>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</si>
  <si>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</si>
  <si>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</si>
  <si>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</si>
  <si>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</si>
  <si>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</si>
  <si>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</si>
  <si>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</si>
  <si>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</si>
  <si>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</si>
  <si>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</si>
  <si>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</si>
  <si>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</si>
  <si>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</si>
  <si>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</si>
  <si>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</si>
  <si>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</si>
  <si>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</si>
  <si>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</si>
  <si>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</si>
  <si>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</si>
  <si>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</si>
  <si>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</si>
  <si>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</si>
  <si>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</si>
  <si>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</si>
  <si>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</si>
  <si>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</si>
  <si>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</si>
  <si>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</si>
  <si>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</si>
  <si>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</si>
  <si>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</si>
  <si>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</si>
  <si>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</si>
  <si>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</si>
  <si>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</si>
  <si>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</si>
  <si>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</si>
  <si>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</si>
  <si>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</si>
  <si>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</si>
  <si>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</si>
  <si>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</si>
  <si>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</si>
  <si>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</si>
  <si>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</si>
  <si>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</si>
  <si>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</si>
  <si>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</si>
  <si>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</si>
  <si>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</si>
  <si>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</si>
  <si>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</si>
  <si>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</si>
  <si>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</si>
  <si>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</si>
  <si>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</si>
  <si>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</si>
  <si>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</si>
  <si>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</si>
  <si>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</si>
  <si>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</si>
  <si>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</si>
  <si>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</si>
  <si>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</si>
  <si>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</si>
  <si>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</si>
  <si>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</si>
  <si>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</si>
  <si>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</si>
  <si>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</si>
  <si>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</si>
  <si>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</si>
  <si>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</si>
  <si>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</si>
  <si>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</si>
  <si>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</si>
  <si>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</si>
  <si>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</si>
  <si>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</si>
  <si>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</si>
  <si>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</si>
  <si>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</si>
  <si>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</si>
  <si>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</si>
  <si>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</si>
  <si>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</si>
  <si>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</si>
  <si>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</si>
  <si>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</si>
  <si>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</si>
  <si>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</si>
  <si>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</si>
  <si>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</si>
  <si>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</si>
  <si>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</si>
  <si>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</si>
  <si>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</si>
  <si>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</si>
  <si>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</si>
  <si>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</si>
  <si>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</si>
  <si>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</si>
  <si>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</si>
  <si>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</si>
  <si>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</si>
  <si>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</si>
  <si>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</si>
  <si>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</si>
  <si>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</si>
  <si>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</si>
  <si>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</si>
  <si>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</si>
  <si>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</si>
  <si>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</si>
  <si>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</si>
  <si>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</si>
  <si>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</si>
  <si>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</si>
  <si>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</si>
  <si>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</si>
  <si>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</si>
  <si>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</si>
  <si>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</si>
  <si>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</si>
  <si>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</si>
  <si>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</si>
  <si>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</si>
  <si>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</si>
  <si>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</si>
  <si>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</si>
  <si>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</si>
  <si>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</si>
  <si>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</si>
  <si>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</si>
  <si>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</si>
  <si>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</si>
  <si>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</si>
  <si>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</si>
  <si>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</si>
  <si>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</si>
  <si>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</si>
  <si>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</si>
  <si>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</si>
  <si>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</si>
  <si>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</si>
  <si>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</si>
  <si>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</si>
  <si>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</si>
  <si>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</si>
  <si>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</si>
  <si>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</si>
  <si>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</si>
  <si>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</si>
  <si>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</si>
  <si>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</si>
  <si>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</si>
  <si>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</si>
  <si>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</si>
  <si>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</si>
  <si>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</si>
  <si>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</si>
  <si>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</si>
  <si>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</si>
  <si>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</si>
  <si>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</si>
  <si>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</si>
  <si>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</si>
  <si>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</si>
  <si>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</si>
  <si>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</si>
  <si>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</si>
  <si>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</si>
  <si>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</si>
  <si>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</si>
  <si>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</si>
  <si>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</si>
  <si>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</si>
  <si>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</si>
  <si>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</si>
  <si>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</si>
  <si>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</si>
  <si>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</si>
  <si>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</si>
  <si>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</si>
  <si>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</si>
  <si>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</si>
  <si>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</si>
  <si>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</si>
  <si>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</si>
  <si>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</si>
  <si>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</si>
  <si>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</si>
  <si>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</si>
  <si>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</si>
  <si>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</si>
  <si>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</si>
  <si>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</si>
  <si>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</si>
  <si>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</si>
  <si>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</si>
  <si>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</si>
  <si>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</si>
  <si>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</si>
  <si>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</si>
  <si>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</si>
  <si>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</si>
  <si>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</si>
  <si>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</si>
  <si>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</si>
  <si>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</si>
  <si>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</si>
  <si>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</si>
  <si>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</si>
  <si>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</si>
  <si>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</si>
  <si>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</si>
  <si>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</si>
  <si>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</si>
  <si>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</si>
  <si>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</si>
  <si>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</si>
  <si>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</si>
  <si>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</si>
  <si>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</si>
  <si>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</si>
  <si>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</si>
  <si>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</si>
  <si>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</si>
  <si>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</si>
  <si>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</si>
  <si>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</si>
  <si>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</si>
  <si>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</si>
  <si>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</si>
  <si>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</si>
  <si>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</si>
  <si>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</si>
  <si>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</si>
  <si>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</si>
  <si>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</si>
  <si>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</si>
  <si>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</si>
  <si>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</si>
  <si>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</si>
  <si>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</si>
  <si>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</si>
  <si>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</si>
  <si>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</si>
  <si>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</si>
  <si>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</si>
  <si>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</si>
  <si>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</si>
  <si>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</si>
  <si>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</si>
  <si>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</si>
  <si>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</si>
  <si>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</si>
  <si>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</si>
  <si>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</si>
  <si>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</si>
  <si>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</si>
  <si>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</si>
  <si>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</si>
  <si>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</si>
  <si>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</si>
  <si>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</si>
  <si>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</si>
  <si>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</si>
  <si>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</si>
  <si>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</si>
  <si>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</si>
  <si>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</si>
  <si>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</si>
  <si>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</si>
  <si>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</si>
  <si>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</si>
  <si>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</si>
  <si>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</si>
  <si>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</si>
  <si>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</si>
  <si>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</si>
  <si>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</si>
  <si>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</si>
  <si>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</si>
  <si>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</si>
  <si>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</si>
  <si>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</si>
  <si>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</si>
  <si>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</si>
  <si>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</si>
  <si>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</si>
  <si>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</si>
  <si>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</si>
  <si>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</si>
  <si>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</si>
  <si>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</si>
  <si>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</si>
  <si>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</si>
  <si>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</si>
  <si>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</si>
  <si>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</si>
  <si>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</si>
  <si>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</si>
  <si>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</si>
  <si>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</si>
  <si>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</si>
  <si>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</si>
  <si>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</si>
  <si>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</si>
  <si>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</si>
  <si>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</si>
  <si>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</si>
  <si>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</si>
  <si>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</si>
  <si>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</si>
  <si>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</si>
  <si>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</si>
  <si>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</si>
  <si>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</si>
  <si>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</si>
  <si>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</si>
  <si>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</si>
  <si>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</si>
  <si>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</si>
  <si>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</si>
  <si>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</si>
  <si>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</si>
  <si>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</si>
  <si>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</si>
  <si>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</si>
  <si>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</si>
  <si>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</si>
  <si>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</si>
  <si>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</si>
  <si>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</si>
  <si>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</si>
  <si>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</si>
  <si>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</si>
  <si>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</si>
  <si>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</si>
  <si>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</si>
  <si>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</si>
  <si>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</si>
  <si>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</si>
  <si>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</si>
  <si>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</si>
  <si>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</si>
  <si>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</si>
  <si>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</si>
  <si>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</si>
  <si>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</si>
  <si>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</si>
  <si>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</si>
  <si>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</si>
  <si>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</si>
  <si>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</si>
  <si>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</si>
  <si>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</si>
  <si>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</si>
  <si>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</si>
  <si>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</si>
  <si>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</si>
  <si>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</si>
  <si>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</si>
  <si>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</si>
  <si>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</si>
  <si>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</si>
  <si>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</si>
  <si>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</si>
  <si>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</si>
  <si>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</si>
  <si>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</si>
  <si>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</si>
  <si>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</si>
  <si>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</si>
  <si>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</si>
  <si>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</si>
  <si>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</si>
  <si>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</si>
  <si>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</si>
  <si>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</si>
  <si>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</si>
  <si>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</si>
  <si>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</si>
  <si>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</si>
  <si>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</si>
  <si>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</si>
  <si>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</si>
  <si>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</si>
  <si>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</si>
  <si>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</si>
  <si>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</si>
  <si>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</si>
  <si>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</si>
  <si>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</si>
  <si>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</si>
  <si>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</si>
  <si>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</si>
  <si>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</si>
  <si>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</si>
  <si>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</si>
  <si>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</si>
  <si>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</si>
  <si>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</si>
  <si>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</si>
  <si>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</si>
  <si>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</si>
  <si>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</si>
  <si>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</si>
  <si>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</si>
  <si>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</si>
  <si>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</si>
  <si>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</si>
  <si>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</si>
  <si>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</si>
  <si>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</si>
  <si>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</si>
  <si>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</si>
  <si>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</si>
  <si>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</si>
  <si>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</si>
  <si>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</si>
  <si>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</si>
  <si>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</si>
  <si>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</si>
  <si>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</si>
  <si>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</si>
  <si>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</si>
  <si>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</si>
  <si>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</si>
  <si>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</si>
  <si>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</si>
  <si>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</si>
  <si>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</si>
  <si>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</si>
  <si>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</si>
  <si>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</si>
  <si>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</si>
  <si>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</si>
  <si>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</si>
  <si>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</si>
  <si>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</si>
  <si>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</si>
  <si>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</si>
  <si>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</si>
  <si>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</si>
  <si>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</si>
  <si>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</si>
  <si>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</si>
  <si>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</si>
  <si>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</si>
  <si>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</si>
  <si>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</si>
  <si>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</si>
  <si>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</si>
  <si>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</si>
  <si>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</si>
  <si>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</si>
  <si>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</si>
  <si>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</si>
  <si>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</si>
  <si>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</si>
  <si>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</si>
  <si>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</si>
  <si>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</si>
  <si>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</si>
  <si>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</si>
  <si>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</si>
  <si>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</si>
  <si>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</si>
  <si>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</si>
  <si>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</si>
  <si>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</si>
  <si>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</si>
  <si>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</si>
  <si>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</si>
  <si>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</si>
  <si>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</si>
  <si>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</si>
  <si>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</si>
  <si>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</si>
  <si>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</si>
  <si>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</si>
  <si>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</si>
  <si>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</si>
  <si>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</si>
  <si>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</si>
  <si>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</si>
  <si>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</si>
  <si>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</si>
  <si>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</si>
  <si>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</si>
  <si>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</si>
  <si>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</si>
  <si>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</si>
  <si>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</si>
  <si>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</si>
  <si>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</si>
  <si>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</si>
  <si>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</si>
  <si>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</si>
  <si>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</si>
  <si>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</si>
  <si>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</si>
  <si>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</si>
  <si>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</si>
  <si>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</si>
  <si>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</si>
  <si>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</si>
  <si>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</si>
  <si>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</si>
  <si>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</si>
  <si>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</si>
  <si>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</si>
  <si>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</si>
  <si>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</si>
  <si>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</si>
  <si>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</si>
  <si>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</si>
  <si>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</si>
  <si>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</si>
  <si>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</si>
  <si>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</si>
  <si>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</si>
  <si>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</si>
  <si>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</si>
  <si>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</si>
  <si>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</si>
  <si>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</si>
  <si>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</si>
  <si>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</si>
  <si>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</si>
  <si>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</si>
  <si>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</si>
  <si>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</si>
  <si>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</si>
  <si>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</si>
  <si>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</si>
  <si>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</si>
  <si>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</si>
  <si>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</si>
  <si>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</si>
  <si>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</si>
  <si>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</si>
  <si>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</si>
  <si>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</si>
  <si>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</si>
  <si>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</si>
  <si>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</si>
  <si>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</si>
  <si>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</si>
  <si>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</si>
  <si>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</si>
  <si>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</si>
  <si>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</si>
  <si>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</si>
  <si>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</si>
  <si>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</si>
  <si>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</si>
  <si>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</si>
  <si>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</si>
  <si>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</si>
  <si>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</si>
  <si>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</si>
  <si>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</si>
  <si>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</si>
  <si>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</si>
  <si>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</si>
  <si>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</si>
  <si>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</si>
  <si>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</si>
  <si>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</si>
  <si>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</si>
  <si>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</si>
  <si>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</si>
  <si>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</si>
  <si>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</si>
  <si>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</si>
  <si>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</si>
  <si>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</si>
  <si>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</si>
  <si>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</si>
  <si>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</si>
  <si>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</si>
  <si>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</si>
  <si>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</si>
  <si>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</si>
  <si>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</si>
  <si>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</si>
  <si>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</si>
  <si>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</si>
  <si>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</si>
  <si>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</si>
  <si>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</si>
  <si>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</si>
  <si>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</si>
  <si>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</si>
  <si>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</si>
  <si>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</si>
  <si>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</si>
  <si>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</si>
  <si>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</si>
  <si>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</si>
  <si>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</si>
  <si>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</si>
  <si>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</si>
  <si>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</si>
  <si>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</si>
  <si>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</si>
  <si>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</si>
  <si>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</si>
  <si>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</si>
  <si>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</si>
  <si>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</si>
  <si>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</si>
  <si>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</si>
  <si>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</si>
  <si>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</si>
  <si>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</si>
  <si>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</si>
  <si>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</si>
  <si>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</si>
  <si>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</si>
  <si>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</si>
  <si>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</si>
  <si>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</si>
  <si>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</si>
  <si>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</si>
  <si>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</si>
  <si>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</si>
  <si>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</si>
  <si>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</si>
  <si>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</si>
  <si>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</si>
  <si>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</si>
  <si>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</si>
  <si>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</si>
  <si>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</si>
  <si>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</si>
  <si>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</si>
  <si>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</si>
  <si>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</si>
  <si>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</si>
  <si>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</si>
  <si>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</si>
  <si>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</si>
  <si>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</si>
  <si>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</si>
  <si>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</si>
  <si>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</si>
  <si>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</si>
  <si>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</si>
  <si>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</si>
  <si>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</si>
  <si>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</si>
  <si>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</si>
  <si>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</si>
  <si>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</si>
  <si>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</si>
  <si>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</si>
  <si>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</si>
  <si>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</si>
  <si>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</si>
  <si>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</si>
  <si>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</si>
  <si>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</si>
  <si>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</si>
  <si>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</si>
  <si>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</si>
  <si>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</si>
  <si>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</si>
  <si>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</si>
  <si>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</si>
  <si>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</si>
  <si>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</si>
  <si>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</si>
  <si>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</si>
  <si>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</si>
  <si>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</si>
  <si>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</si>
  <si>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</si>
  <si>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</si>
  <si>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</si>
  <si>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</si>
  <si>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</si>
  <si>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</si>
  <si>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</si>
  <si>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</si>
  <si>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</si>
  <si>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</si>
  <si>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</si>
  <si>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</si>
  <si>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</si>
  <si>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</si>
  <si>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</si>
  <si>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</si>
  <si>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</si>
  <si>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</si>
  <si>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</si>
  <si>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</si>
  <si>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</si>
  <si>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</si>
  <si>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</si>
  <si>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</si>
  <si>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</si>
  <si>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</si>
  <si>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</si>
  <si>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</si>
  <si>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</si>
  <si>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</si>
  <si>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</si>
  <si>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</si>
  <si>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</si>
  <si>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</si>
  <si>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</si>
  <si>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</si>
  <si>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</si>
  <si>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</si>
  <si>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</si>
  <si>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</si>
  <si>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</si>
  <si>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</si>
  <si>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</si>
  <si>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</si>
  <si>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</si>
  <si>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</si>
  <si>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</si>
  <si>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</si>
  <si>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</si>
  <si>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</si>
  <si>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</si>
  <si>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</si>
  <si>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</si>
  <si>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</si>
  <si>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</si>
  <si>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</si>
  <si>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</si>
  <si>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</si>
  <si>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</si>
  <si>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</si>
  <si>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</si>
  <si>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</si>
  <si>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</si>
  <si>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</si>
  <si>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</si>
  <si>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</si>
  <si>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</si>
  <si>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</si>
  <si>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</si>
  <si>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</si>
  <si>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</si>
  <si>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</si>
  <si>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</si>
  <si>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</si>
  <si>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</si>
  <si>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</si>
  <si>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</si>
  <si>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</si>
  <si>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</si>
  <si>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</si>
  <si>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</si>
  <si>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</si>
  <si>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</si>
  <si>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</si>
  <si>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</si>
  <si>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</si>
  <si>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</si>
  <si>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</si>
  <si>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</si>
  <si>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</si>
  <si>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</si>
  <si>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</si>
  <si>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</si>
  <si>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</si>
  <si>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</si>
  <si>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</si>
  <si>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</si>
  <si>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</si>
  <si>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</si>
  <si>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</si>
  <si>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</si>
  <si>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</si>
  <si>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</si>
  <si>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</si>
  <si>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</si>
  <si>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</si>
  <si>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</si>
  <si>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</si>
  <si>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</si>
  <si>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</si>
  <si>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</si>
  <si>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</si>
  <si>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</si>
  <si>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</si>
  <si>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</si>
  <si>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</si>
  <si>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</si>
  <si>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</si>
  <si>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</si>
  <si>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</si>
  <si>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</si>
  <si>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</si>
  <si>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</si>
  <si>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</si>
  <si>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</si>
  <si>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</si>
  <si>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</si>
  <si>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</si>
  <si>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</si>
  <si>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</si>
  <si>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</si>
  <si>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</si>
  <si>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</si>
  <si>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</si>
  <si>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</si>
  <si>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</si>
  <si>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</si>
  <si>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</si>
  <si>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</si>
  <si>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</si>
  <si>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</si>
  <si>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</si>
  <si>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</si>
  <si>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</si>
  <si>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</si>
  <si>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</si>
  <si>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</si>
  <si>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</si>
  <si>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</si>
  <si>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</si>
  <si>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</si>
  <si>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</si>
  <si>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</si>
  <si>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</si>
  <si>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</si>
  <si>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</si>
  <si>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</si>
  <si>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</si>
  <si>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</si>
  <si>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</si>
  <si>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</si>
  <si>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</si>
  <si>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</si>
  <si>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</si>
  <si>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</si>
  <si>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</si>
  <si>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</si>
  <si>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</si>
  <si>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</si>
  <si>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</si>
  <si>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</si>
  <si>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</si>
  <si>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</si>
  <si>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</si>
  <si>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</si>
  <si>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</si>
  <si>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</si>
  <si>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</si>
  <si>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</si>
  <si>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</si>
  <si>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</si>
  <si>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</si>
  <si>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</si>
  <si>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</si>
  <si>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</si>
  <si>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</si>
  <si>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</si>
  <si>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</si>
  <si>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</si>
  <si>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</si>
  <si>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</si>
  <si>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</si>
  <si>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</si>
  <si>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</si>
  <si>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</si>
  <si>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</si>
  <si>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</si>
  <si>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</si>
  <si>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</si>
  <si>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</si>
  <si>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</si>
  <si>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</si>
  <si>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</si>
  <si>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</si>
  <si>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</si>
  <si>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</si>
  <si>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</si>
  <si>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</si>
  <si>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</si>
  <si>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</si>
  <si>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</si>
  <si>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</si>
  <si>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</si>
  <si>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</si>
  <si>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</si>
  <si>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</si>
  <si>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</si>
  <si>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</si>
  <si>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</si>
  <si>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</si>
  <si>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</si>
  <si>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</si>
  <si>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</si>
  <si>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</si>
  <si>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</si>
  <si>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</si>
  <si>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</si>
  <si>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</si>
  <si>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</si>
  <si>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</si>
  <si>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</si>
  <si>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</si>
  <si>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</si>
  <si>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</si>
  <si>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</si>
  <si>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</si>
  <si>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</si>
  <si>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</si>
  <si>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</si>
  <si>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</si>
  <si>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</si>
  <si>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</si>
  <si>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</si>
  <si>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</si>
  <si>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</si>
  <si>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</si>
  <si>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</si>
  <si>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</si>
  <si>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</si>
  <si>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</si>
  <si>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</si>
  <si>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</si>
  <si>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</si>
  <si>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</si>
  <si>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</si>
  <si>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</si>
  <si>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</si>
  <si>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</si>
  <si>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</si>
  <si>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</si>
  <si>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</si>
  <si>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</si>
  <si>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</si>
  <si>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</si>
  <si>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</si>
  <si>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</si>
  <si>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</si>
  <si>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</si>
  <si>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</si>
  <si>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</si>
  <si>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</si>
  <si>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</si>
  <si>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</si>
  <si>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</si>
  <si>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</si>
  <si>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</si>
  <si>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</si>
  <si>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</si>
  <si>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</si>
  <si>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</si>
  <si>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</si>
  <si>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</si>
  <si>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</si>
  <si>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</si>
  <si>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</si>
  <si>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</si>
  <si>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</si>
  <si>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</si>
  <si>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</si>
  <si>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</si>
  <si>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</si>
  <si>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</si>
  <si>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</si>
  <si>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</si>
  <si>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</si>
  <si>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</si>
  <si>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</si>
  <si>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</si>
  <si>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</si>
  <si>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</si>
  <si>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</si>
  <si>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</si>
  <si>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</si>
  <si>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</si>
  <si>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</si>
  <si>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</si>
  <si>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</si>
  <si>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</si>
  <si>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</si>
  <si>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</si>
  <si>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</si>
  <si>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</si>
  <si>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</si>
  <si>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</si>
  <si>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</si>
  <si>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</si>
  <si>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</si>
  <si>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</si>
  <si>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</si>
  <si>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</si>
  <si>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</si>
  <si>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</si>
  <si>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</si>
  <si>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</si>
  <si>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</si>
  <si>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</si>
  <si>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</si>
  <si>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</si>
  <si>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</si>
  <si>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</si>
  <si>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</si>
  <si>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</si>
  <si>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</si>
  <si>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</si>
  <si>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</si>
  <si>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</si>
  <si>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</si>
  <si>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</si>
  <si>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</si>
  <si>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</si>
  <si>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</si>
  <si>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</si>
  <si>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</si>
  <si>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</si>
  <si>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</si>
  <si>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</si>
  <si>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</si>
  <si>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</si>
  <si>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</si>
  <si>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</si>
  <si>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</si>
  <si>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</si>
  <si>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</si>
  <si>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</si>
  <si>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</si>
  <si>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</si>
  <si>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</si>
  <si>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</si>
  <si>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</si>
  <si>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</si>
  <si>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</si>
  <si>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</si>
  <si>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</si>
  <si>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</si>
  <si>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</si>
  <si>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</si>
  <si>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</si>
  <si>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</si>
  <si>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</si>
  <si>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</si>
  <si>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</si>
  <si>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</si>
  <si>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</si>
  <si>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</si>
  <si>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</si>
  <si>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</si>
  <si>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</si>
  <si>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</si>
  <si>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</si>
  <si>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</si>
  <si>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</si>
  <si>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</si>
  <si>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</si>
  <si>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</si>
  <si>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</si>
  <si>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</si>
  <si>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</si>
  <si>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</si>
  <si>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</si>
  <si>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</si>
  <si>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</si>
  <si>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</si>
  <si>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</si>
  <si>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</si>
  <si>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</si>
  <si>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</si>
  <si>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</si>
  <si>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</si>
  <si>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</si>
  <si>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</si>
  <si>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</si>
  <si>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</si>
  <si>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</si>
  <si>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</si>
  <si>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</si>
  <si>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</si>
  <si>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</si>
  <si>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</si>
  <si>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</si>
  <si>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</si>
  <si>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</si>
  <si>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</si>
  <si>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</si>
  <si>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</si>
  <si>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</si>
  <si>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</si>
  <si>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</si>
  <si>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</si>
  <si>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</si>
  <si>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</si>
  <si>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</si>
  <si>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</si>
  <si>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</si>
  <si>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</si>
  <si>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</si>
  <si>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</si>
  <si>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</si>
  <si>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</si>
  <si>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</si>
  <si>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</si>
  <si>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</si>
  <si>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</si>
  <si>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</si>
  <si>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</si>
  <si>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</si>
  <si>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</si>
  <si>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</si>
  <si>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</si>
  <si>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</si>
  <si>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</si>
  <si>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</si>
  <si>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</si>
  <si>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</si>
  <si>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</si>
  <si>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</si>
  <si>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</si>
  <si>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</si>
  <si>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</si>
  <si>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</si>
  <si>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</si>
  <si>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</si>
  <si>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</si>
  <si>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</si>
  <si>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</si>
  <si>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</si>
  <si>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</si>
  <si>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</si>
  <si>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</si>
  <si>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</si>
  <si>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</si>
  <si>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</si>
  <si>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</si>
  <si>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</si>
  <si>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</si>
  <si>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</si>
  <si>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</si>
  <si>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</si>
  <si>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</si>
  <si>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</si>
  <si>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</si>
  <si>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</si>
  <si>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</si>
  <si>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</si>
  <si>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</si>
  <si>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</si>
  <si>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</si>
  <si>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</si>
  <si>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</si>
  <si>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</si>
  <si>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</si>
  <si>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</si>
  <si>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</si>
  <si>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</si>
  <si>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</si>
  <si>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</si>
  <si>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</si>
  <si>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</si>
  <si>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</si>
  <si>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</si>
  <si>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</si>
  <si>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</si>
  <si>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</si>
  <si>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</si>
  <si>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</si>
  <si>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</si>
  <si>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</si>
  <si>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</si>
  <si>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</si>
  <si>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</si>
  <si>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</si>
  <si>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</si>
  <si>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</si>
  <si>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</si>
  <si>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</si>
  <si>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</si>
  <si>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</si>
  <si>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</si>
  <si>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</si>
  <si>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</si>
  <si>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</si>
  <si>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</si>
  <si>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</si>
  <si>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</si>
  <si>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</si>
  <si>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</si>
  <si>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</si>
  <si>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</si>
  <si>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</si>
  <si>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</si>
  <si>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</si>
  <si>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</si>
  <si>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</si>
  <si>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</si>
  <si>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</si>
  <si>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</si>
  <si>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</si>
  <si>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</si>
  <si>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</si>
  <si>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</si>
  <si>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</si>
  <si>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</si>
  <si>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</si>
  <si>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</si>
  <si>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</si>
  <si>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</si>
  <si>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</si>
  <si>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</si>
  <si>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</si>
  <si>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</si>
  <si>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</si>
  <si>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</si>
  <si>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</si>
  <si>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</si>
  <si>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</si>
  <si>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</si>
  <si>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</si>
  <si>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</si>
  <si>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</si>
  <si>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</si>
  <si>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</si>
  <si>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</si>
  <si>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</si>
  <si>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</si>
  <si>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</si>
  <si>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</si>
  <si>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</si>
  <si>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</si>
  <si>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</si>
  <si>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</si>
  <si>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</si>
  <si>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</si>
  <si>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</si>
  <si>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</si>
  <si>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</si>
  <si>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</si>
  <si>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</si>
  <si>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</si>
  <si>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</si>
  <si>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</si>
  <si>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</si>
  <si>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</si>
  <si>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</si>
  <si>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</si>
  <si>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</si>
  <si>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</si>
  <si>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</si>
  <si>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</si>
  <si>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</si>
  <si>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</si>
  <si>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</si>
  <si>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</si>
  <si>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</si>
  <si>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</si>
  <si>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</si>
  <si>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</si>
  <si>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</si>
  <si>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</si>
  <si>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</si>
  <si>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</si>
  <si>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</si>
  <si>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</si>
  <si>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</si>
  <si>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</si>
  <si>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</si>
  <si>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</si>
  <si>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</si>
  <si>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</si>
  <si>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</si>
  <si>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</si>
  <si>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</si>
  <si>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</si>
  <si>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</si>
  <si>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</si>
  <si>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</si>
  <si>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</si>
  <si>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</si>
  <si>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</si>
  <si>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</si>
  <si>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</si>
  <si>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</si>
  <si>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</si>
  <si>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</si>
  <si>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</si>
  <si>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</si>
  <si>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</si>
  <si>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</si>
  <si>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</si>
  <si>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</si>
  <si>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</si>
  <si>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</si>
  <si>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</si>
  <si>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</si>
  <si>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</si>
  <si>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</si>
  <si>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</si>
  <si>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</si>
  <si>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</si>
  <si>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</si>
  <si>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</si>
  <si>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</si>
  <si>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</si>
  <si>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</si>
  <si>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</si>
  <si>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</si>
  <si>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</si>
  <si>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</si>
  <si>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</si>
  <si>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</si>
  <si>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</si>
  <si>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</si>
  <si>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</si>
  <si>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</si>
  <si>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</si>
  <si>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</si>
  <si>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</si>
  <si>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</si>
  <si>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</si>
  <si>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</si>
  <si>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</si>
  <si>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</si>
  <si>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</si>
  <si>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</si>
  <si>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</si>
  <si>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</si>
  <si>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</si>
  <si>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</si>
  <si>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</si>
  <si>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</si>
  <si>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</si>
  <si>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</si>
  <si>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</si>
  <si>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</si>
  <si>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</si>
  <si>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</si>
  <si>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</si>
  <si>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</si>
  <si>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</si>
  <si>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</si>
  <si>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</si>
  <si>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</si>
  <si>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</si>
  <si>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</si>
  <si>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</si>
  <si>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</si>
  <si>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</si>
  <si>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</si>
  <si>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</si>
  <si>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</si>
  <si>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</si>
  <si>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</si>
  <si>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</si>
  <si>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</si>
  <si>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</si>
  <si>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</si>
  <si>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</si>
  <si>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</si>
  <si>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</si>
  <si>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</si>
  <si>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</si>
  <si>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</si>
  <si>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</si>
  <si>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</si>
  <si>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</si>
  <si>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</si>
  <si>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</si>
  <si>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</si>
  <si>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</si>
  <si>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</si>
  <si>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</si>
  <si>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</si>
  <si>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</si>
  <si>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</si>
  <si>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</si>
  <si>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</si>
  <si>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</si>
  <si>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</si>
  <si>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</si>
  <si>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</si>
  <si>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</si>
  <si>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</si>
  <si>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</si>
  <si>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</si>
  <si>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</si>
  <si>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</si>
  <si>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</si>
  <si>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</si>
  <si>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</si>
  <si>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</si>
  <si>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</si>
  <si>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</si>
  <si>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</si>
  <si>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</si>
  <si>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</si>
  <si>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</si>
  <si>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</si>
  <si>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</si>
  <si>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</si>
  <si>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</si>
  <si>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</si>
  <si>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</si>
  <si>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</si>
  <si>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</si>
  <si>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</si>
  <si>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</si>
  <si>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</si>
  <si>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</si>
  <si>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</si>
  <si>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</si>
  <si>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</si>
  <si>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</si>
  <si>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</si>
  <si>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</si>
  <si>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</si>
  <si>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</si>
  <si>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</si>
  <si>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</si>
  <si>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</si>
  <si>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</si>
  <si>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</si>
  <si>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</si>
  <si>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</si>
  <si>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</si>
  <si>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</si>
  <si>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</si>
  <si>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</si>
  <si>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</si>
  <si>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</si>
  <si>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</si>
  <si>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</si>
  <si>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</si>
  <si>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</si>
  <si>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</si>
  <si>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</si>
  <si>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</si>
  <si>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</si>
  <si>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</si>
  <si>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</si>
  <si>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</si>
  <si>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</si>
  <si>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</si>
  <si>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</si>
  <si>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</si>
  <si>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</si>
  <si>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</si>
  <si>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</si>
  <si>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</si>
  <si>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</si>
  <si>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</si>
  <si>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</si>
  <si>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</si>
  <si>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</si>
  <si>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</si>
  <si>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</si>
  <si>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</si>
  <si>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</si>
  <si>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</si>
  <si>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</si>
  <si>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</si>
  <si>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</si>
  <si>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</si>
  <si>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</si>
  <si>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</si>
  <si>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</si>
  <si>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</si>
  <si>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</si>
  <si>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</si>
  <si>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</si>
  <si>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</si>
  <si>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</si>
  <si>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</si>
  <si>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</si>
  <si>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</si>
  <si>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</si>
  <si>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</si>
  <si>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</si>
  <si>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</si>
  <si>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</si>
  <si>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</si>
  <si>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</si>
  <si>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</si>
  <si>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</si>
  <si>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</si>
  <si>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</si>
  <si>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</si>
  <si>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</si>
  <si>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</si>
  <si>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</si>
  <si>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</si>
  <si>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</si>
  <si>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</si>
  <si>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</si>
  <si>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</si>
  <si>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</si>
  <si>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</si>
  <si>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</si>
  <si>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</si>
  <si>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</si>
  <si>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</si>
  <si>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</si>
  <si>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</si>
  <si>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</si>
  <si>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</si>
  <si>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</si>
  <si>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</si>
  <si>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</si>
  <si>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</si>
  <si>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</si>
  <si>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</si>
  <si>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</si>
  <si>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</si>
  <si>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</si>
  <si>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</si>
  <si>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</si>
  <si>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</si>
  <si>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</si>
  <si>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</si>
  <si>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</si>
  <si>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</si>
  <si>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</si>
  <si>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</si>
  <si>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</si>
  <si>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</si>
  <si>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</si>
  <si>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</si>
  <si>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</si>
  <si>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</si>
  <si>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</si>
  <si>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</si>
  <si>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</si>
  <si>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</si>
  <si>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</si>
  <si>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</si>
  <si>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</si>
  <si>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</si>
  <si>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</si>
  <si>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</si>
  <si>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</si>
  <si>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</si>
  <si>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</si>
  <si>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</si>
  <si>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</si>
  <si>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</si>
  <si>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</si>
  <si>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</si>
  <si>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</si>
  <si>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</si>
  <si>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</si>
  <si>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</si>
  <si>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</si>
  <si>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</si>
  <si>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</si>
  <si>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</si>
  <si>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</si>
  <si>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</si>
  <si>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</si>
  <si>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</si>
  <si>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</si>
  <si>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</si>
  <si>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</si>
  <si>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</si>
  <si>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</si>
  <si>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</si>
  <si>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</si>
  <si>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</si>
  <si>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</si>
  <si>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</si>
  <si>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</si>
  <si>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</si>
  <si>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</si>
  <si>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</si>
  <si>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</si>
  <si>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</si>
  <si>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</si>
  <si>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</si>
  <si>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</si>
  <si>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</si>
  <si>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</si>
  <si>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</si>
  <si>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</si>
  <si>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</si>
  <si>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</si>
  <si>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</si>
  <si>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</si>
  <si>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</si>
  <si>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</si>
  <si>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</si>
  <si>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</si>
  <si>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</si>
  <si>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</si>
  <si>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</si>
  <si>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</si>
  <si>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</si>
  <si>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</si>
  <si>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</si>
  <si>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</si>
  <si>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</si>
  <si>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</si>
  <si>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</si>
  <si>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</si>
  <si>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</si>
  <si>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</si>
  <si>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</si>
  <si>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</si>
  <si>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</si>
  <si>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</si>
  <si>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</si>
  <si>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</si>
  <si>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</si>
  <si>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</si>
  <si>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</si>
  <si>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</si>
  <si>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</si>
  <si>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</si>
  <si>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</si>
  <si>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</si>
  <si>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</si>
  <si>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</si>
  <si>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</si>
  <si>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</si>
  <si>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</si>
  <si>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</si>
  <si>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</si>
  <si>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</si>
  <si>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</si>
  <si>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</si>
  <si>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</si>
  <si>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</si>
  <si>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</si>
  <si>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</si>
  <si>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</si>
  <si>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</si>
  <si>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</si>
  <si>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</si>
  <si>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</si>
  <si>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</si>
  <si>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</si>
  <si>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</si>
  <si>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</si>
  <si>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</si>
  <si>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</si>
  <si>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</si>
  <si>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</si>
  <si>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</si>
  <si>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</si>
  <si>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</si>
  <si>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</si>
  <si>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</si>
  <si>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</si>
  <si>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</si>
  <si>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</si>
  <si>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</si>
  <si>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</si>
  <si>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</si>
  <si>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</si>
  <si>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</si>
  <si>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</si>
  <si>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</si>
  <si>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</si>
  <si>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</si>
  <si>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</si>
  <si>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</si>
  <si>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</si>
  <si>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</si>
  <si>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</si>
  <si>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</si>
  <si>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</si>
  <si>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</si>
  <si>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</si>
  <si>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</si>
  <si>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</si>
  <si>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</si>
  <si>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</si>
  <si>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</si>
  <si>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</si>
  <si>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</si>
  <si>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</si>
  <si>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</si>
  <si>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</si>
  <si>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</si>
  <si>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</si>
  <si>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</si>
  <si>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</si>
  <si>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</si>
  <si>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</si>
  <si>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</si>
  <si>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</si>
  <si>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</si>
  <si>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</si>
  <si>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</si>
  <si>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</si>
  <si>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</si>
  <si>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</si>
  <si>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</si>
  <si>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</si>
  <si>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</si>
  <si>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</si>
  <si>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</si>
  <si>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</si>
  <si>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</si>
  <si>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</si>
  <si>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</si>
  <si>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</si>
  <si>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</si>
  <si>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</si>
  <si>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</si>
  <si>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</si>
  <si>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</si>
  <si>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</si>
  <si>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</si>
  <si>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</si>
  <si>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</si>
  <si>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</si>
  <si>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</si>
  <si>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</si>
  <si>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</si>
  <si>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</si>
  <si>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</si>
  <si>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</si>
  <si>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</si>
  <si>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</si>
  <si>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</si>
  <si>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</si>
  <si>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</si>
  <si>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</si>
  <si>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</si>
  <si>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</si>
  <si>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</si>
  <si>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</si>
  <si>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</si>
  <si>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</si>
  <si>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</si>
  <si>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</si>
  <si>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</si>
  <si>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</si>
  <si>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</si>
  <si>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</si>
  <si>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</si>
  <si>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</si>
  <si>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</si>
  <si>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</si>
  <si>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</si>
  <si>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</si>
  <si>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</si>
  <si>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</si>
  <si>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</si>
  <si>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</si>
  <si>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</si>
  <si>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</si>
  <si>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</si>
  <si>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</si>
  <si>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</si>
  <si>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</si>
  <si>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</si>
  <si>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</si>
  <si>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</si>
  <si>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</si>
  <si>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</si>
  <si>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</si>
  <si>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</si>
  <si>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</si>
  <si>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</si>
  <si>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</si>
  <si>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</si>
  <si>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</si>
  <si>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</si>
  <si>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</si>
  <si>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</si>
  <si>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</si>
  <si>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</si>
  <si>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</si>
  <si>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</si>
  <si>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</si>
  <si>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</si>
  <si>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</si>
  <si>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</si>
  <si>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</si>
  <si>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</si>
  <si>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</si>
  <si>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</si>
  <si>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</si>
  <si>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</si>
  <si>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</si>
  <si>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</si>
  <si>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</si>
  <si>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</si>
  <si>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</si>
  <si>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</si>
  <si>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</si>
  <si>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</si>
  <si>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</si>
  <si>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</si>
  <si>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</si>
  <si>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</si>
  <si>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</si>
  <si>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</si>
  <si>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</si>
  <si>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</si>
  <si>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</si>
  <si>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</si>
  <si>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</si>
  <si>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</si>
  <si>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</si>
  <si>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</si>
  <si>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</si>
  <si>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</si>
  <si>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</si>
  <si>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</si>
  <si>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</si>
  <si>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</si>
  <si>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</si>
  <si>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</si>
  <si>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</si>
  <si>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</si>
  <si>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</si>
  <si>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</si>
  <si>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</si>
  <si>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</si>
  <si>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</si>
  <si>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</si>
  <si>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</si>
  <si>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</si>
  <si>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</si>
  <si>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</si>
  <si>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</si>
  <si>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</si>
  <si>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</si>
  <si>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</si>
  <si>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</si>
  <si>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</si>
  <si>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</si>
  <si>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</si>
  <si>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</si>
  <si>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</si>
  <si>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</si>
  <si>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</si>
  <si>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</si>
  <si>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</si>
  <si>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</si>
  <si>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</si>
  <si>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</si>
  <si>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</si>
  <si>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</si>
  <si>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</si>
  <si>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</si>
  <si>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</si>
  <si>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</si>
  <si>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</si>
  <si>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</si>
  <si>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</si>
  <si>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</si>
  <si>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</si>
  <si>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</si>
  <si>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</si>
  <si>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</si>
  <si>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</si>
  <si>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</si>
  <si>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</si>
  <si>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</si>
  <si>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</si>
  <si>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</si>
  <si>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</si>
  <si>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</si>
  <si>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</si>
  <si>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</si>
  <si>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</si>
  <si>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</si>
  <si>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</si>
  <si>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</si>
  <si>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</si>
  <si>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</si>
  <si>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</si>
  <si>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</si>
  <si>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</si>
  <si>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</si>
  <si>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</si>
  <si>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</si>
  <si>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</si>
  <si>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</si>
  <si>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</si>
  <si>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</si>
  <si>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</si>
  <si>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</si>
  <si>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</si>
  <si>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</si>
  <si>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</si>
  <si>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</si>
  <si>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</si>
  <si>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</si>
  <si>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</si>
  <si>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</si>
  <si>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</si>
  <si>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</si>
  <si>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</si>
  <si>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</si>
  <si>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</si>
  <si>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</si>
  <si>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</si>
  <si>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</si>
  <si>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</si>
  <si>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</si>
  <si>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</si>
  <si>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</si>
  <si>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</si>
  <si>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</si>
  <si>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</si>
  <si>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</si>
  <si>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</si>
  <si>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</si>
  <si>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</si>
  <si>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</si>
  <si>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</si>
  <si>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</si>
  <si>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</si>
  <si>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</si>
  <si>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</si>
  <si>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</si>
  <si>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</si>
  <si>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</si>
  <si>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</si>
  <si>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</si>
  <si>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</si>
  <si>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</si>
  <si>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</si>
  <si>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</si>
  <si>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</si>
  <si>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</si>
  <si>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</si>
  <si>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</si>
  <si>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</si>
  <si>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</si>
  <si>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</si>
  <si>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</si>
  <si>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</si>
  <si>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</si>
  <si>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</si>
  <si>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</si>
  <si>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</si>
  <si>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</si>
  <si>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</si>
  <si>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</si>
  <si>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</si>
  <si>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</si>
  <si>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</si>
  <si>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</si>
  <si>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</si>
  <si>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</si>
  <si>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</si>
  <si>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</si>
  <si>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</si>
  <si>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</si>
  <si>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</si>
  <si>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</si>
  <si>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</si>
  <si>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</si>
  <si>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</si>
  <si>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</si>
  <si>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</si>
  <si>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</si>
  <si>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</si>
  <si>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</si>
  <si>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</si>
  <si>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</si>
  <si>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</si>
  <si>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</si>
  <si>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</si>
  <si>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</si>
  <si>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</si>
  <si>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</si>
  <si>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</si>
  <si>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</si>
  <si>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</si>
  <si>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</si>
  <si>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</si>
  <si>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</si>
  <si>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</si>
  <si>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</si>
  <si>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</si>
  <si>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</si>
  <si>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</si>
  <si>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</si>
  <si>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</si>
  <si>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</si>
  <si>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</si>
  <si>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</si>
  <si>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</si>
  <si>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</si>
  <si>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</si>
  <si>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</si>
  <si>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</si>
  <si>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</si>
  <si>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</si>
  <si>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</si>
  <si>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</si>
  <si>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</si>
  <si>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</si>
  <si>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</si>
  <si>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</si>
  <si>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</si>
  <si>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</si>
  <si>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</si>
  <si>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</si>
  <si>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</si>
  <si>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</si>
  <si>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</si>
  <si>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</si>
  <si>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</si>
  <si>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</si>
  <si>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</si>
  <si>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</si>
  <si>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</si>
  <si>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</si>
  <si>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</si>
  <si>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</si>
  <si>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</si>
  <si>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</si>
  <si>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</si>
  <si>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</si>
  <si>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</si>
  <si>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</si>
  <si>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</si>
  <si>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</si>
  <si>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</si>
  <si>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</si>
  <si>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</si>
  <si>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</si>
  <si>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</si>
  <si>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</si>
  <si>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</si>
  <si>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</si>
  <si>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</si>
  <si>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</si>
  <si>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</si>
  <si>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</si>
  <si>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</si>
  <si>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</si>
  <si>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</si>
  <si>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</si>
  <si>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</si>
  <si>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</si>
  <si>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</si>
  <si>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</si>
  <si>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</si>
  <si>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</si>
  <si>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</si>
  <si>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</si>
  <si>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</si>
  <si>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</si>
  <si>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</si>
  <si>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</si>
  <si>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</si>
  <si>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</si>
  <si>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</si>
  <si>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</si>
  <si>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</si>
  <si>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</si>
  <si>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</si>
  <si>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</si>
  <si>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</si>
  <si>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</si>
  <si>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</si>
  <si>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</si>
  <si>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</si>
  <si>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</si>
  <si>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</si>
  <si>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</si>
  <si>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</si>
  <si>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</si>
  <si>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</si>
  <si>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</si>
  <si>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</si>
  <si>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</si>
  <si>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</si>
  <si>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</si>
  <si>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</si>
  <si>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</si>
  <si>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</si>
  <si>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</si>
  <si>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</si>
  <si>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</si>
  <si>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</si>
  <si>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</si>
  <si>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</si>
  <si>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</si>
  <si>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</si>
  <si>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</si>
  <si>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</si>
  <si>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</si>
  <si>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</si>
  <si>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</si>
  <si>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</si>
  <si>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</si>
  <si>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</si>
  <si>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</si>
  <si>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</si>
  <si>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</si>
  <si>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</si>
  <si>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</si>
  <si>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</si>
  <si>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</si>
  <si>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</si>
  <si>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</si>
  <si>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</si>
  <si>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</si>
  <si>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</si>
  <si>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</si>
  <si>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</si>
  <si>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</si>
  <si>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</si>
  <si>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</si>
  <si>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</si>
  <si>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</si>
  <si>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</si>
  <si>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</si>
  <si>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</si>
  <si>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</si>
  <si>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</si>
  <si>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</si>
  <si>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</si>
  <si>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</si>
  <si>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</si>
  <si>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</si>
  <si>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</si>
  <si>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</si>
  <si>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</si>
  <si>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</si>
  <si>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</si>
  <si>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</si>
  <si>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</si>
  <si>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</si>
  <si>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</si>
  <si>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</si>
  <si>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</si>
  <si>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</si>
  <si>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</si>
  <si>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</si>
  <si>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</si>
  <si>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</si>
  <si>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</si>
  <si>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</si>
  <si>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</si>
  <si>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</si>
  <si>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</si>
  <si>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</si>
  <si>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</si>
  <si>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</si>
  <si>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</si>
  <si>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</si>
  <si>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</si>
  <si>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</si>
  <si>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</si>
  <si>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</si>
  <si>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</si>
  <si>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</si>
  <si>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</si>
  <si>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</si>
  <si>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</si>
  <si>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</si>
  <si>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</si>
  <si>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</si>
  <si>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</si>
  <si>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</si>
  <si>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</si>
  <si>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</si>
  <si>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</si>
  <si>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</si>
  <si>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</si>
  <si>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</si>
  <si>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</si>
  <si>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</si>
  <si>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</si>
  <si>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</si>
  <si>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</si>
  <si>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</si>
  <si>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</si>
  <si>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</si>
  <si>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</si>
  <si>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</si>
  <si>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</si>
  <si>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</si>
  <si>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</si>
  <si>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</si>
  <si>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</si>
  <si>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</si>
  <si>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</si>
  <si>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</si>
  <si>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</si>
  <si>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</si>
  <si>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</si>
  <si>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</si>
  <si>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</si>
  <si>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</si>
  <si>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</si>
  <si>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</si>
  <si>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</si>
  <si>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</si>
  <si>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</si>
  <si>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</si>
  <si>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</si>
  <si>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</si>
  <si>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</si>
  <si>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</si>
  <si>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</si>
  <si>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</si>
  <si>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</si>
  <si>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</si>
  <si>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</si>
  <si>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</si>
  <si>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</si>
  <si>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</si>
  <si>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</si>
  <si>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</si>
  <si>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</si>
  <si>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</si>
  <si>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</si>
  <si>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</si>
  <si>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</si>
  <si>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</si>
  <si>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</si>
  <si>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</si>
  <si>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</si>
  <si>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</si>
  <si>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</si>
  <si>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</si>
  <si>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</si>
  <si>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</si>
  <si>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</si>
  <si>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</si>
  <si>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</si>
  <si>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</si>
  <si>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</si>
  <si>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</si>
  <si>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</si>
  <si>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</si>
  <si>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</si>
  <si>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</si>
  <si>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</si>
  <si>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</si>
  <si>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</si>
  <si>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</si>
  <si>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</si>
  <si>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</si>
  <si>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</si>
  <si>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</si>
  <si>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</si>
  <si>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</si>
  <si>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</si>
  <si>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</si>
  <si>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</si>
  <si>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</si>
  <si>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</si>
  <si>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</si>
  <si>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</si>
  <si>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</si>
  <si>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</si>
  <si>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</si>
  <si>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</si>
  <si>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</si>
  <si>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</si>
  <si>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</si>
  <si>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</si>
  <si>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</si>
  <si>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</si>
  <si>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</si>
  <si>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</si>
  <si>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</si>
  <si>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</si>
  <si>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</si>
  <si>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</si>
  <si>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</si>
  <si>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</si>
  <si>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</si>
  <si>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</si>
  <si>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</si>
  <si>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</si>
  <si>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</si>
  <si>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</si>
  <si>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</si>
  <si>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</si>
  <si>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</si>
  <si>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</si>
  <si>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</si>
  <si>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</si>
  <si>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</si>
  <si>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</si>
  <si>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</si>
  <si>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</si>
  <si>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</si>
  <si>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</si>
  <si>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</si>
  <si>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</si>
  <si>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</si>
  <si>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</si>
  <si>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</si>
  <si>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</si>
  <si>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</si>
  <si>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</si>
  <si>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</si>
  <si>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</si>
  <si>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</si>
  <si>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</si>
  <si>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</si>
  <si>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</si>
  <si>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</si>
  <si>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</si>
  <si>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</si>
  <si>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</si>
  <si>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</si>
  <si>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</si>
  <si>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</si>
  <si>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</si>
  <si>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</si>
  <si>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</si>
  <si>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</si>
  <si>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</si>
  <si>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</si>
  <si>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</si>
  <si>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</si>
  <si>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</si>
  <si>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</si>
  <si>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</si>
  <si>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</si>
  <si>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</si>
  <si>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</si>
  <si>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</si>
  <si>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</si>
  <si>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</si>
  <si>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</si>
  <si>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</si>
  <si>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</si>
  <si>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</si>
  <si>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</si>
  <si>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</si>
  <si>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</si>
  <si>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</si>
  <si>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</si>
  <si>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</si>
  <si>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</si>
  <si>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</si>
  <si>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</si>
  <si>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</si>
  <si>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</si>
  <si>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</si>
  <si>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</si>
  <si>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</si>
  <si>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</si>
  <si>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</si>
  <si>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</si>
  <si>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</si>
  <si>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</si>
  <si>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</si>
  <si>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</si>
  <si>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</si>
  <si>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</si>
  <si>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</si>
  <si>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</si>
  <si>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</si>
  <si>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</si>
  <si>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</si>
  <si>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</si>
  <si>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</si>
  <si>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</si>
  <si>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</si>
  <si>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</si>
  <si>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</si>
  <si>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</si>
  <si>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</si>
  <si>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</si>
  <si>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</si>
  <si>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</si>
  <si>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</si>
  <si>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</si>
  <si>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</si>
  <si>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</si>
  <si>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</si>
  <si>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</si>
  <si>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</si>
  <si>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</si>
  <si>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</si>
  <si>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</si>
  <si>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</si>
  <si>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</si>
  <si>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</si>
  <si>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</si>
  <si>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</si>
  <si>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</si>
  <si>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</si>
  <si>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</si>
  <si>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</si>
  <si>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</si>
  <si>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</si>
  <si>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</si>
  <si>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</si>
  <si>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</si>
  <si>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</si>
  <si>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</si>
  <si>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</si>
  <si>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</si>
  <si>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</si>
  <si>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</si>
  <si>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</si>
  <si>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</si>
  <si>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</si>
  <si>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</si>
  <si>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</si>
  <si>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</si>
  <si>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</si>
  <si>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</si>
  <si>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</si>
  <si>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</si>
  <si>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</si>
  <si>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</si>
  <si>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</si>
  <si>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</si>
  <si>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</si>
  <si>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</si>
  <si>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</si>
  <si>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</si>
  <si>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</si>
  <si>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</si>
  <si>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</si>
  <si>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</si>
  <si>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</si>
  <si>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</si>
  <si>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</si>
  <si>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</si>
  <si>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</si>
  <si>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</si>
  <si>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</si>
  <si>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</si>
  <si>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</si>
  <si>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</si>
  <si>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</si>
  <si>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</si>
  <si>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</si>
  <si>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</si>
  <si>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</si>
  <si>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</si>
  <si>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</si>
  <si>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</si>
  <si>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</si>
  <si>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</si>
  <si>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</si>
  <si>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</si>
  <si>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</si>
  <si>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</si>
  <si>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</si>
  <si>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</si>
  <si>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</si>
  <si>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</si>
  <si>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</si>
  <si>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</si>
  <si>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</si>
  <si>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</si>
  <si>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</si>
  <si>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</si>
  <si>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</si>
  <si>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</si>
  <si>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</si>
  <si>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</si>
  <si>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</si>
  <si>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</si>
  <si>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</si>
  <si>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</si>
  <si>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</si>
  <si>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</si>
  <si>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</si>
  <si>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</si>
  <si>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</si>
  <si>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</si>
  <si>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</si>
  <si>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</si>
  <si>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</si>
  <si>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</si>
  <si>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</si>
  <si>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</si>
  <si>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</si>
  <si>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</si>
  <si>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</si>
  <si>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</si>
  <si>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</si>
  <si>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</si>
  <si>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</si>
  <si>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</si>
  <si>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</si>
  <si>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</si>
  <si>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</si>
  <si>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</si>
  <si>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</si>
  <si>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</si>
  <si>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</si>
  <si>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</si>
  <si>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</si>
  <si>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</si>
  <si>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</si>
  <si>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</si>
  <si>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</si>
  <si>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</si>
  <si>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</si>
  <si>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</si>
  <si>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</si>
  <si>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</si>
  <si>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</si>
  <si>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</si>
  <si>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</si>
  <si>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</si>
  <si>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</si>
  <si>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</si>
  <si>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</si>
  <si>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</si>
  <si>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</si>
  <si>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</si>
  <si>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</si>
  <si>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</si>
  <si>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</si>
  <si>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</si>
  <si>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</si>
  <si>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</si>
  <si>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</si>
  <si>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</si>
  <si>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</si>
  <si>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</si>
  <si>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</si>
  <si>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</si>
  <si>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</si>
  <si>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</si>
  <si>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</si>
  <si>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</si>
  <si>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</si>
  <si>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</si>
  <si>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</si>
  <si>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</si>
  <si>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</si>
  <si>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</si>
  <si>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</si>
  <si>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</si>
  <si>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</si>
  <si>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</si>
  <si>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</si>
  <si>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</si>
  <si>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</si>
  <si>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</si>
  <si>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</si>
  <si>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</si>
  <si>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</si>
  <si>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</si>
  <si>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</si>
  <si>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</si>
  <si>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</si>
  <si>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</si>
  <si>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</si>
  <si>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</si>
  <si>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</si>
  <si>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</si>
  <si>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</si>
  <si>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</si>
  <si>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</si>
  <si>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</si>
  <si>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</si>
  <si>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</si>
  <si>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</si>
  <si>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</si>
  <si>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</si>
  <si>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</si>
  <si>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</si>
  <si>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</si>
  <si>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</si>
  <si>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</si>
  <si>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</si>
  <si>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</si>
  <si>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</si>
  <si>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</si>
  <si>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</si>
  <si>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</si>
  <si>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</si>
  <si>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</si>
  <si>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</si>
  <si>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</si>
  <si>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</si>
  <si>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</si>
  <si>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</si>
  <si>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</si>
  <si>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</si>
  <si>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</si>
  <si>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</si>
  <si>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</si>
  <si>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</si>
  <si>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</si>
  <si>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</si>
  <si>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</si>
  <si>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</si>
  <si>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</si>
  <si>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</si>
  <si>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</si>
  <si>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</si>
  <si>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</si>
  <si>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</si>
  <si>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</si>
  <si>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</si>
  <si>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</si>
  <si>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</si>
  <si>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</si>
  <si>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</si>
  <si>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</si>
  <si>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</si>
  <si>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</si>
  <si>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</si>
  <si>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</si>
  <si>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</si>
  <si>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</si>
  <si>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</si>
  <si>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</si>
  <si>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</si>
  <si>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</si>
  <si>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</si>
  <si>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</si>
  <si>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</si>
  <si>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</si>
  <si>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</si>
  <si>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</si>
  <si>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</si>
  <si>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</si>
  <si>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</si>
  <si>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</si>
  <si>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</si>
  <si>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</si>
  <si>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</si>
  <si>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</si>
  <si>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</si>
  <si>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</si>
  <si>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</si>
  <si>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</si>
  <si>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</si>
  <si>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</si>
  <si>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</si>
  <si>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</si>
  <si>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</si>
  <si>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</si>
  <si>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</si>
  <si>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</si>
  <si>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</si>
  <si>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</si>
  <si>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</si>
  <si>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</si>
  <si>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</si>
  <si>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</si>
  <si>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</si>
  <si>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</si>
  <si>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</si>
  <si>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</si>
  <si>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</si>
  <si>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</si>
  <si>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</si>
  <si>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</si>
  <si>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</si>
  <si>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</si>
  <si>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</si>
  <si>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</si>
  <si>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</si>
  <si>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</si>
  <si>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</si>
  <si>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</si>
  <si>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</si>
  <si>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</si>
  <si>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</si>
  <si>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</si>
  <si>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</si>
  <si>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</si>
  <si>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</si>
  <si>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</si>
  <si>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</si>
  <si>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</si>
  <si>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</si>
  <si>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</si>
  <si>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</si>
  <si>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</si>
  <si>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</si>
  <si>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</si>
  <si>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</si>
  <si>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</si>
  <si>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</si>
  <si>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</si>
  <si>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</si>
  <si>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</si>
  <si>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</si>
  <si>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</si>
  <si>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</si>
  <si>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</si>
  <si>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</si>
  <si>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</si>
  <si>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</si>
  <si>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</si>
  <si>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</si>
  <si>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</si>
  <si>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</si>
  <si>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</si>
  <si>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</si>
  <si>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</si>
  <si>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</si>
  <si>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</si>
  <si>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</si>
  <si>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</si>
  <si>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</si>
  <si>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</si>
  <si>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</si>
  <si>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</si>
  <si>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</si>
  <si>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</si>
  <si>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</si>
  <si>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</si>
  <si>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</si>
  <si>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</si>
  <si>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</si>
  <si>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</si>
  <si>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</si>
  <si>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</si>
  <si>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</si>
  <si>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</si>
  <si>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</si>
  <si>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</si>
  <si>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</si>
  <si>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</si>
  <si>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</si>
  <si>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</si>
  <si>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</si>
  <si>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</si>
  <si>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</si>
  <si>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</si>
  <si>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</si>
  <si>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</si>
  <si>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</si>
  <si>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</si>
  <si>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</si>
  <si>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</si>
  <si>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</si>
  <si>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</si>
  <si>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</si>
  <si>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</si>
  <si>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</si>
  <si>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</si>
  <si>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</si>
  <si>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</si>
  <si>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</si>
  <si>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</si>
  <si>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</si>
  <si>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</si>
  <si>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</si>
  <si>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</si>
  <si>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</si>
  <si>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</si>
  <si>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</si>
  <si>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</si>
  <si>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</si>
  <si>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</si>
  <si>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</si>
  <si>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</si>
  <si>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</si>
  <si>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</si>
  <si>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</si>
  <si>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</si>
  <si>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</si>
  <si>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</si>
  <si>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</si>
  <si>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</si>
  <si>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</si>
  <si>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</si>
  <si>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</si>
  <si>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</si>
  <si>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</si>
  <si>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</si>
  <si>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</si>
  <si>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</si>
  <si>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</si>
  <si>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</si>
  <si>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</si>
  <si>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</si>
  <si>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</si>
  <si>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</si>
  <si>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</si>
  <si>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</si>
  <si>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</si>
  <si>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</si>
  <si>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</si>
  <si>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</si>
  <si>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</si>
  <si>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</si>
  <si>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</si>
  <si>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</si>
  <si>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</si>
  <si>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</si>
  <si>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</si>
  <si>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</si>
  <si>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</si>
  <si>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</si>
  <si>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</si>
  <si>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</si>
  <si>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</si>
  <si>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</si>
  <si>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</si>
  <si>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</si>
  <si>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</si>
  <si>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</si>
  <si>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</si>
  <si>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</si>
  <si>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</si>
  <si>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</si>
  <si>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</si>
  <si>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</si>
  <si>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</si>
  <si>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</si>
  <si>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</si>
  <si>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</si>
  <si>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</si>
  <si>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</si>
  <si>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</si>
  <si>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</si>
  <si>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</si>
  <si>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</si>
  <si>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</si>
  <si>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</si>
  <si>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</si>
  <si>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</si>
  <si>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</si>
  <si>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</si>
  <si>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</si>
  <si>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</si>
  <si>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</si>
  <si>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</si>
  <si>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</si>
  <si>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</si>
  <si>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</si>
  <si>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</si>
  <si>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</si>
  <si>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</si>
  <si>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</si>
  <si>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</si>
  <si>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</si>
  <si>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</si>
  <si>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</si>
  <si>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</si>
  <si>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</si>
  <si>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</si>
  <si>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</si>
  <si>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</si>
  <si>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</si>
  <si>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</si>
  <si>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</si>
  <si>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</si>
  <si>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</si>
  <si>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</si>
  <si>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</si>
  <si>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</si>
  <si>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</si>
  <si>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</si>
  <si>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</si>
  <si>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</si>
  <si>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</si>
  <si>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</si>
  <si>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</si>
  <si>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</si>
  <si>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</si>
  <si>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</si>
  <si>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</si>
  <si>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</si>
  <si>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</si>
  <si>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</si>
  <si>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</si>
  <si>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</si>
  <si>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</si>
  <si>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</si>
  <si>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</si>
  <si>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</si>
  <si>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</si>
  <si>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</si>
  <si>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</si>
  <si>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</si>
  <si>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</si>
  <si>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</si>
  <si>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</si>
  <si>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</si>
  <si>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</si>
  <si>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</si>
  <si>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</si>
  <si>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</si>
  <si>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</si>
  <si>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</si>
  <si>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</si>
  <si>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</si>
  <si>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</si>
  <si>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</si>
  <si>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</si>
  <si>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</si>
  <si>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</si>
  <si>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</si>
  <si>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</si>
  <si>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</si>
  <si>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</si>
  <si>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</si>
  <si>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</si>
  <si>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</si>
  <si>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</si>
  <si>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</si>
  <si>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</si>
  <si>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</si>
  <si>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</si>
  <si>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</si>
  <si>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</si>
  <si>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</si>
  <si>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</si>
  <si>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</si>
  <si>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</si>
  <si>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</si>
  <si>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</si>
  <si>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</si>
  <si>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</si>
  <si>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</si>
  <si>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</si>
  <si>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</si>
  <si>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</si>
  <si>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</si>
  <si>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</si>
  <si>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</si>
  <si>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</si>
  <si>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</si>
  <si>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</si>
  <si>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</si>
  <si>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</si>
  <si>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</si>
  <si>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</si>
  <si>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</si>
  <si>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</si>
  <si>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</si>
  <si>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</si>
  <si>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</si>
  <si>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</si>
  <si>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</si>
  <si>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</si>
  <si>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</si>
  <si>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</si>
  <si>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</si>
  <si>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</si>
  <si>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</si>
  <si>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</si>
  <si>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</si>
  <si>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</si>
  <si>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</si>
  <si>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</si>
  <si>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</si>
  <si>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</si>
  <si>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</si>
  <si>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</si>
  <si>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</si>
  <si>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</si>
  <si>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</si>
  <si>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</si>
  <si>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</si>
  <si>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</si>
  <si>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</si>
  <si>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</si>
  <si>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</si>
  <si>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</si>
  <si>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</si>
  <si>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</si>
  <si>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</si>
  <si>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</si>
  <si>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</si>
  <si>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</si>
  <si>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</si>
  <si>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</si>
  <si>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</si>
  <si>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</si>
  <si>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</si>
  <si>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</si>
  <si>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</si>
  <si>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</si>
  <si>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</si>
  <si>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</si>
  <si>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</si>
  <si>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</si>
  <si>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</si>
  <si>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</si>
  <si>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</si>
  <si>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</si>
  <si>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</si>
  <si>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</si>
  <si>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</si>
  <si>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</si>
  <si>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</si>
  <si>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</si>
  <si>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</si>
  <si>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</si>
  <si>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</si>
  <si>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</si>
  <si>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</si>
  <si>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</si>
  <si>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</si>
  <si>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</si>
  <si>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</si>
  <si>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</si>
  <si>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</si>
  <si>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</si>
  <si>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</si>
  <si>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</si>
  <si>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</si>
  <si>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</si>
  <si>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</si>
  <si>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</si>
  <si>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</si>
  <si>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</si>
  <si>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</si>
  <si>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</si>
  <si>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</si>
  <si>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</si>
  <si>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</si>
  <si>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</si>
  <si>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</si>
  <si>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</si>
  <si>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</si>
  <si>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</si>
  <si>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</si>
  <si>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</si>
  <si>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</si>
  <si>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</si>
  <si>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</si>
  <si>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</si>
  <si>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</si>
  <si>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</si>
  <si>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</si>
  <si>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</si>
  <si>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</si>
  <si>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</si>
  <si>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</si>
  <si>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</si>
  <si>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</si>
  <si>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</si>
  <si>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</si>
  <si>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</si>
  <si>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</si>
  <si>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</si>
  <si>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</si>
  <si>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</si>
  <si>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</si>
  <si>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</si>
  <si>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</si>
  <si>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</si>
  <si>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</si>
  <si>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</si>
  <si>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</si>
  <si>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</si>
  <si>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</si>
  <si>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</si>
  <si>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</si>
  <si>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</si>
  <si>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</si>
  <si>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</si>
  <si>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</si>
  <si>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</si>
  <si>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</si>
  <si>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</si>
  <si>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</si>
  <si>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</si>
  <si>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</si>
  <si>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</si>
  <si>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</si>
  <si>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</si>
  <si>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</si>
  <si>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</si>
  <si>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</si>
  <si>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</si>
  <si>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</si>
  <si>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</si>
  <si>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</si>
  <si>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</si>
  <si>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</si>
  <si>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</si>
  <si>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</si>
  <si>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</si>
  <si>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</si>
  <si>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</si>
  <si>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</si>
  <si>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</si>
  <si>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</si>
  <si>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</si>
  <si>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</si>
  <si>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</si>
  <si>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</si>
  <si>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</si>
  <si>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</si>
  <si>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</si>
  <si>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</si>
  <si>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</si>
  <si>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</si>
  <si>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</si>
  <si>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</si>
  <si>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</si>
  <si>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</si>
  <si>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</si>
  <si>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</si>
  <si>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</si>
  <si>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</si>
  <si>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</si>
  <si>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</si>
  <si>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</si>
  <si>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</si>
  <si>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</si>
  <si>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</si>
  <si>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</si>
  <si>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</si>
  <si>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</si>
  <si>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</si>
  <si>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</si>
  <si>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</si>
  <si>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</si>
  <si>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</si>
  <si>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</si>
  <si>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</si>
  <si>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</si>
  <si>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</si>
  <si>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</si>
  <si>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</si>
  <si>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</si>
  <si>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</si>
  <si>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</si>
  <si>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</si>
  <si>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</si>
  <si>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</si>
  <si>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</si>
  <si>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</si>
  <si>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</si>
  <si>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</si>
  <si>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</si>
  <si>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</si>
  <si>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</si>
  <si>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</si>
  <si>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</si>
  <si>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</si>
  <si>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</si>
  <si>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</si>
  <si>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</si>
  <si>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</si>
  <si>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</si>
  <si>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</si>
  <si>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</si>
  <si>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</si>
  <si>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</si>
  <si>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</si>
  <si>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</si>
  <si>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</si>
  <si>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</si>
  <si>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</si>
  <si>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</si>
  <si>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</si>
  <si>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</si>
  <si>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</si>
  <si>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</si>
  <si>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</si>
  <si>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</si>
  <si>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</si>
  <si>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</si>
  <si>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</si>
  <si>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</si>
  <si>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</si>
  <si>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</si>
  <si>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</si>
  <si>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</si>
  <si>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</si>
  <si>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</si>
  <si>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</si>
  <si>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</si>
  <si>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</si>
  <si>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</si>
  <si>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</si>
  <si>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</si>
  <si>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</si>
  <si>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</si>
  <si>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</si>
  <si>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</si>
  <si>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</si>
  <si>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</si>
  <si>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</si>
  <si>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</si>
  <si>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</si>
  <si>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</si>
  <si>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</si>
  <si>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</si>
  <si>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</si>
  <si>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</si>
  <si>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</si>
  <si>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</si>
  <si>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</si>
  <si>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</si>
  <si>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</si>
  <si>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</si>
  <si>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</si>
  <si>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</si>
  <si>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</si>
  <si>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</si>
  <si>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</si>
  <si>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</si>
  <si>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</si>
  <si>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</si>
  <si>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</si>
  <si>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</si>
  <si>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</si>
  <si>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</si>
  <si>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</si>
  <si>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</si>
  <si>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</si>
  <si>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</si>
  <si>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</si>
  <si>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</si>
  <si>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</si>
  <si>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</si>
  <si>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</si>
  <si>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</si>
  <si>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</si>
  <si>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</si>
  <si>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</si>
  <si>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</si>
  <si>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</si>
  <si>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</si>
  <si>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</si>
  <si>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</si>
  <si>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</si>
  <si>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</si>
  <si>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</si>
  <si>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</si>
  <si>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</si>
  <si>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</si>
  <si>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</si>
  <si>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</si>
  <si>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</si>
  <si>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</si>
  <si>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</si>
  <si>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</si>
  <si>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</si>
  <si>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</si>
  <si>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</si>
  <si>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</si>
  <si>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</si>
  <si>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</si>
  <si>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</si>
  <si>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</si>
  <si>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</si>
  <si>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</si>
  <si>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</si>
  <si>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</si>
  <si>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</si>
  <si>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</si>
  <si>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</si>
  <si>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</si>
  <si>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</si>
  <si>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</si>
  <si>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</si>
  <si>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</si>
  <si>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</si>
  <si>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</si>
  <si>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</si>
  <si>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</si>
  <si>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</si>
  <si>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</si>
  <si>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</si>
  <si>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</si>
  <si>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</si>
  <si>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</si>
  <si>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</si>
  <si>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</si>
  <si>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</si>
  <si>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</si>
  <si>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</si>
  <si>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</si>
  <si>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</si>
  <si>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</si>
  <si>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</si>
  <si>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</si>
  <si>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</si>
  <si>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</si>
  <si>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</si>
  <si>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</si>
  <si>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</si>
  <si>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</si>
  <si>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</si>
  <si>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</si>
  <si>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</si>
  <si>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</si>
  <si>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</si>
  <si>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</si>
  <si>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</si>
  <si>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</si>
  <si>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</si>
  <si>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</si>
  <si>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</si>
  <si>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</si>
  <si>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</si>
  <si>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</si>
  <si>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</si>
  <si>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</si>
  <si>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</si>
  <si>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</si>
  <si>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</si>
  <si>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</si>
  <si>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</si>
  <si>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</si>
  <si>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</si>
  <si>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</si>
  <si>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</si>
  <si>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</si>
  <si>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</si>
  <si>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</si>
  <si>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</si>
  <si>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</si>
  <si>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</si>
  <si>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</si>
  <si>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</si>
  <si>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</si>
  <si>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</si>
  <si>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</si>
  <si>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</si>
  <si>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</si>
  <si>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</si>
  <si>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</si>
  <si>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</si>
  <si>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</si>
  <si>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</si>
  <si>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</si>
  <si>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</si>
  <si>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</si>
  <si>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</si>
  <si>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</si>
  <si>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</si>
  <si>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</si>
  <si>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</si>
  <si>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</si>
  <si>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</si>
  <si>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</si>
  <si>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</si>
  <si>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</si>
  <si>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</si>
  <si>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</si>
  <si>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</si>
  <si>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</si>
  <si>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</si>
  <si>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</si>
  <si>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</si>
  <si>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</si>
  <si>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</si>
  <si>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</si>
  <si>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</si>
  <si>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</si>
  <si>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</si>
  <si>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</si>
  <si>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</si>
  <si>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</si>
  <si>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</si>
  <si>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</si>
  <si>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</si>
  <si>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</si>
  <si>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</si>
  <si>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</si>
  <si>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</si>
  <si>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</si>
  <si>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</si>
  <si>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</si>
  <si>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</si>
  <si>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</si>
  <si>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</si>
  <si>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</si>
  <si>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</si>
  <si>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</si>
  <si>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</si>
  <si>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</si>
  <si>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</si>
  <si>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</si>
  <si>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</si>
  <si>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</si>
  <si>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</si>
  <si>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</si>
  <si>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</si>
  <si>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</si>
  <si>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</si>
  <si>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</si>
  <si>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</si>
  <si>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</si>
  <si>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</si>
  <si>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</si>
  <si>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</si>
  <si>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</si>
  <si>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</si>
  <si>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</si>
  <si>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</si>
  <si>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</si>
  <si>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</si>
  <si>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</si>
  <si>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</si>
  <si>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</si>
  <si>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</si>
  <si>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</si>
  <si>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</si>
  <si>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</si>
  <si>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</si>
  <si>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</si>
  <si>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</si>
  <si>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</si>
  <si>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</si>
  <si>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</si>
  <si>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</si>
  <si>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</si>
  <si>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</si>
  <si>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</si>
  <si>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</si>
  <si>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</si>
  <si>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</si>
  <si>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</si>
  <si>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</si>
  <si>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</si>
  <si>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</si>
  <si>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</si>
  <si>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</si>
  <si>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</si>
  <si>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</si>
  <si>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</si>
  <si>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</si>
  <si>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</si>
  <si>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</si>
  <si>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</si>
  <si>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</si>
  <si>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</si>
  <si>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</si>
  <si>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</si>
  <si>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</si>
  <si>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</si>
  <si>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</si>
  <si>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</si>
  <si>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</si>
  <si>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</si>
  <si>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</si>
  <si>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</si>
  <si>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</si>
  <si>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</si>
  <si>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</si>
  <si>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</si>
  <si>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</si>
  <si>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</si>
  <si>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</si>
  <si>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</si>
  <si>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</si>
  <si>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</si>
  <si>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</si>
  <si>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</si>
  <si>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</si>
  <si>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</si>
  <si>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</si>
  <si>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</si>
  <si>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</si>
  <si>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</si>
  <si>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</si>
  <si>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</si>
  <si>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</si>
  <si>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</si>
  <si>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</si>
  <si>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</si>
  <si>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</si>
  <si>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</si>
  <si>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</si>
  <si>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</si>
  <si>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</si>
  <si>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</si>
  <si>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</si>
  <si>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</si>
  <si>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</si>
  <si>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</si>
  <si>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</si>
  <si>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</si>
  <si>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</si>
  <si>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</si>
  <si>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</si>
  <si>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</si>
  <si>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</si>
  <si>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</si>
  <si>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</si>
  <si>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</si>
  <si>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</si>
  <si>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</si>
  <si>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</si>
  <si>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</si>
  <si>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</si>
  <si>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</si>
  <si>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</si>
  <si>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</si>
  <si>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</si>
  <si>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</si>
  <si>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</si>
  <si>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</si>
  <si>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</si>
  <si>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</si>
  <si>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</si>
  <si>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</si>
  <si>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</si>
  <si>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</si>
  <si>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</si>
  <si>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</si>
  <si>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</si>
  <si>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</si>
  <si>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</si>
  <si>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</si>
  <si>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</si>
  <si>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</si>
  <si>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</si>
  <si>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</si>
  <si>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</si>
  <si>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</si>
  <si>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</si>
  <si>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</si>
  <si>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</si>
  <si>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</si>
  <si>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</si>
  <si>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</si>
  <si>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</si>
  <si>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</si>
  <si>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</si>
  <si>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</si>
  <si>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</si>
  <si>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</si>
  <si>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</si>
  <si>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</si>
  <si>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</si>
  <si>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</si>
  <si>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</si>
  <si>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</si>
  <si>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</si>
  <si>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</si>
  <si>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</si>
  <si>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</si>
  <si>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</si>
  <si>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</si>
  <si>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</si>
  <si>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</si>
  <si>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</si>
  <si>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</si>
  <si>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</si>
  <si>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</si>
  <si>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</si>
  <si>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</si>
  <si>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</si>
  <si>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</si>
  <si>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</si>
  <si>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</si>
  <si>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</si>
  <si>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</si>
  <si>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</si>
  <si>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</si>
  <si>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</si>
  <si>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</si>
  <si>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</si>
  <si>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</si>
  <si>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</si>
  <si>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</si>
  <si>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</si>
  <si>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</si>
  <si>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</si>
  <si>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</si>
  <si>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</si>
  <si>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</si>
  <si>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</si>
  <si>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</si>
  <si>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</si>
  <si>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</si>
  <si>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</si>
  <si>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</si>
  <si>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</si>
  <si>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</si>
  <si>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</si>
  <si>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</si>
  <si>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</si>
  <si>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</si>
  <si>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</si>
  <si>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</si>
  <si>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</si>
  <si>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</si>
  <si>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</si>
  <si>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</si>
  <si>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</si>
  <si>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</si>
  <si>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</si>
  <si>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</si>
  <si>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</si>
  <si>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</si>
  <si>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</si>
  <si>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</si>
  <si>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</si>
  <si>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</si>
  <si>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</si>
  <si>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</si>
  <si>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</si>
  <si>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</si>
  <si>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</si>
  <si>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</si>
  <si>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</si>
  <si>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</si>
  <si>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</si>
  <si>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</si>
  <si>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</si>
  <si>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</si>
  <si>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</si>
  <si>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</si>
  <si>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</si>
  <si>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</si>
  <si>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</si>
  <si>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</si>
  <si>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</si>
  <si>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</si>
  <si>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</si>
  <si>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</si>
  <si>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</si>
  <si>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</si>
  <si>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</si>
  <si>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</si>
  <si>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</si>
  <si>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</si>
  <si>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</si>
  <si>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</si>
  <si>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</si>
  <si>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</si>
  <si>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</si>
  <si>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</si>
  <si>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</si>
  <si>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</si>
  <si>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</si>
  <si>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</si>
  <si>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</si>
  <si>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</si>
  <si>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</si>
  <si>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</si>
  <si>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</si>
  <si>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</si>
  <si>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</si>
  <si>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</si>
  <si>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</si>
  <si>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</si>
  <si>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</si>
  <si>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</si>
  <si>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</si>
  <si>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</si>
  <si>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</si>
  <si>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</si>
  <si>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</si>
  <si>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</si>
  <si>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</si>
  <si>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</si>
  <si>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</si>
  <si>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</si>
  <si>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</si>
  <si>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</si>
  <si>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</si>
  <si>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</si>
  <si>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</si>
  <si>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</si>
  <si>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</si>
  <si>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</si>
  <si>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</si>
  <si>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</si>
  <si>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</si>
  <si>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</si>
  <si>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</si>
  <si>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</si>
  <si>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</si>
  <si>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</si>
  <si>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</si>
  <si>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</si>
  <si>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</si>
  <si>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</si>
  <si>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</si>
  <si>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</si>
  <si>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</si>
  <si>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</si>
  <si>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</si>
  <si>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</si>
  <si>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</si>
  <si>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</si>
  <si>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</si>
  <si>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</si>
  <si>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</si>
  <si>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</si>
  <si>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</si>
  <si>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</si>
  <si>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</si>
  <si>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</si>
  <si>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</si>
  <si>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</si>
  <si>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</si>
  <si>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</si>
  <si>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</si>
  <si>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</si>
  <si>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</si>
  <si>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</si>
  <si>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</si>
  <si>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</si>
  <si>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</si>
  <si>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</si>
  <si>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</si>
  <si>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</si>
  <si>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</si>
  <si>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</si>
  <si>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</si>
  <si>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</si>
  <si>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</si>
  <si>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</si>
  <si>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</si>
  <si>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</si>
  <si>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</si>
  <si>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</si>
  <si>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</si>
  <si>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</si>
  <si>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</si>
  <si>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</si>
  <si>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</si>
  <si>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</si>
  <si>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</si>
  <si>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</si>
  <si>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</si>
  <si>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</si>
  <si>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</si>
  <si>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</si>
  <si>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</si>
  <si>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</si>
  <si>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</si>
  <si>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</si>
  <si>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</si>
  <si>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</si>
  <si>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</si>
  <si>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</si>
  <si>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</si>
  <si>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</si>
  <si>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</si>
  <si>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</si>
  <si>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</si>
  <si>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</si>
  <si>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</si>
  <si>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</si>
  <si>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</si>
  <si>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</si>
  <si>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</si>
  <si>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</si>
  <si>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</si>
  <si>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</si>
  <si>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</si>
  <si>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</si>
  <si>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</si>
  <si>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</si>
  <si>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</si>
  <si>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</si>
  <si>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</si>
  <si>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</si>
  <si>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</si>
  <si>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</si>
  <si>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</si>
  <si>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</si>
  <si>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</si>
  <si>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</si>
  <si>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</si>
  <si>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</si>
  <si>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</si>
  <si>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</si>
  <si>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</si>
  <si>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</si>
  <si>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</si>
  <si>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</si>
  <si>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</si>
  <si>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</si>
  <si>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</si>
  <si>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</si>
  <si>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</si>
  <si>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</si>
  <si>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</si>
  <si>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</si>
  <si>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</si>
  <si>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</si>
  <si>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</si>
  <si>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</si>
  <si>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</si>
  <si>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</si>
  <si>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</si>
  <si>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</si>
  <si>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</si>
  <si>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</si>
  <si>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</si>
  <si>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</si>
  <si>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</si>
  <si>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</si>
  <si>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</si>
  <si>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</si>
  <si>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</si>
  <si>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</si>
  <si>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</si>
  <si>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</si>
  <si>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</si>
  <si>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</si>
  <si>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</si>
  <si>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</si>
  <si>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</si>
  <si>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</si>
  <si>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</si>
  <si>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</si>
  <si>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</si>
  <si>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</si>
  <si>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</si>
  <si>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</si>
  <si>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</si>
  <si>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</si>
  <si>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</si>
  <si>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</si>
  <si>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</si>
  <si>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</si>
  <si>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</si>
  <si>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</si>
  <si>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</si>
  <si>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</si>
  <si>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</si>
  <si>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</si>
  <si>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</si>
  <si>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</si>
  <si>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</si>
  <si>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</si>
  <si>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</si>
  <si>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</si>
  <si>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</si>
  <si>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</si>
  <si>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</si>
  <si>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</si>
  <si>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</si>
  <si>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</si>
  <si>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</si>
  <si>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</si>
  <si>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</si>
  <si>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</si>
  <si>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</si>
  <si>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</si>
  <si>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</si>
  <si>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</si>
  <si>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</si>
  <si>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</si>
  <si>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</si>
  <si>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</si>
  <si>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</si>
  <si>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</si>
  <si>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</si>
  <si>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</si>
  <si>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</si>
  <si>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</si>
  <si>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</si>
  <si>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</si>
  <si>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</si>
  <si>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</si>
  <si>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</si>
  <si>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</si>
  <si>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</si>
  <si>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</si>
  <si>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</si>
  <si>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</si>
  <si>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</si>
  <si>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</si>
  <si>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</si>
  <si>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</si>
  <si>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</si>
  <si>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</si>
  <si>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</si>
  <si>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</si>
  <si>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</si>
  <si>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</si>
  <si>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</si>
  <si>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</si>
  <si>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</si>
  <si>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</si>
  <si>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</si>
  <si>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</si>
  <si>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</si>
  <si>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</si>
  <si>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</si>
  <si>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</si>
  <si>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</si>
  <si>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</si>
  <si>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</si>
  <si>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</si>
  <si>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</si>
  <si>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</si>
  <si>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</si>
  <si>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</si>
  <si>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</si>
  <si>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</si>
  <si>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</si>
  <si>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</si>
  <si>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</si>
  <si>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</si>
  <si>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</si>
  <si>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</si>
  <si>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</si>
  <si>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</si>
  <si>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</si>
  <si>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</si>
  <si>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</si>
  <si>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</si>
  <si>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</si>
  <si>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</si>
  <si>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</si>
  <si>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</si>
  <si>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</si>
  <si>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</si>
  <si>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</si>
  <si>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</si>
  <si>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</si>
  <si>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</si>
  <si>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</si>
  <si>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</si>
  <si>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</si>
  <si>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</si>
  <si>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</si>
  <si>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</si>
  <si>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</si>
  <si>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</si>
  <si>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</si>
  <si>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</si>
  <si>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</si>
  <si>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</si>
  <si>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</si>
  <si>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</si>
  <si>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</si>
  <si>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</si>
  <si>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</si>
  <si>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</si>
  <si>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</si>
  <si>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</si>
  <si>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</si>
  <si>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</si>
  <si>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</si>
  <si>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</si>
  <si>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</si>
  <si>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</si>
  <si>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</si>
  <si>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</si>
  <si>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</si>
  <si>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</si>
  <si>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</si>
  <si>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</si>
  <si>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</si>
  <si>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</si>
  <si>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</si>
  <si>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</si>
  <si>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</si>
  <si>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</si>
  <si>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</si>
  <si>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</si>
  <si>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</si>
  <si>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</si>
  <si>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</si>
  <si>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</si>
  <si>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</si>
  <si>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</si>
  <si>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</si>
  <si>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</si>
  <si>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</si>
  <si>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</si>
  <si>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</si>
  <si>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</si>
  <si>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</si>
  <si>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</si>
  <si>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</si>
  <si>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</si>
  <si>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</si>
  <si>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</si>
  <si>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</si>
  <si>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</si>
  <si>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</si>
  <si>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</si>
  <si>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</si>
  <si>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</si>
  <si>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</si>
  <si>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</si>
  <si>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</si>
  <si>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</si>
  <si>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</si>
  <si>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</si>
  <si>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</si>
  <si>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</si>
  <si>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</si>
  <si>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</si>
  <si>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</si>
  <si>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</si>
  <si>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</si>
  <si>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</si>
  <si>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</si>
  <si>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</si>
  <si>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</si>
  <si>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</si>
  <si>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</si>
  <si>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</si>
  <si>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</si>
  <si>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</si>
  <si>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</si>
  <si>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</si>
  <si>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</si>
  <si>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</si>
  <si>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</si>
  <si>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</si>
  <si>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</si>
  <si>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</si>
  <si>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</si>
  <si>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</si>
  <si>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</si>
  <si>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</si>
  <si>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</si>
  <si>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</si>
  <si>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</si>
  <si>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</si>
  <si>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</si>
  <si>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</si>
  <si>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</si>
  <si>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</si>
  <si>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</si>
  <si>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</si>
  <si>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</si>
  <si>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</si>
  <si>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</si>
  <si>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</si>
  <si>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</si>
  <si>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</si>
  <si>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</si>
  <si>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</si>
  <si>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</si>
  <si>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</si>
  <si>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</si>
  <si>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</si>
  <si>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</si>
  <si>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</si>
  <si>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</si>
  <si>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</si>
  <si>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</si>
  <si>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</si>
  <si>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</si>
  <si>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</si>
  <si>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</si>
  <si>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</si>
  <si>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</si>
  <si>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</si>
  <si>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</si>
  <si>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</si>
  <si>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</si>
  <si>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</si>
  <si>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</si>
  <si>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</si>
  <si>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</si>
  <si>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</si>
  <si>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</si>
  <si>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</si>
  <si>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</si>
  <si>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</si>
  <si>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</si>
  <si>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</si>
  <si>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</si>
  <si>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</si>
  <si>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</si>
  <si>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</si>
  <si>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</si>
  <si>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</si>
  <si>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</si>
  <si>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</si>
  <si>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</si>
  <si>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</si>
  <si>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</si>
  <si>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</si>
  <si>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</si>
  <si>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</si>
  <si>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</si>
  <si>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</si>
  <si>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</si>
  <si>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</si>
  <si>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</si>
  <si>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</si>
  <si>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</si>
  <si>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</si>
  <si>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</si>
  <si>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</si>
  <si>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</si>
  <si>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</si>
  <si>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</si>
  <si>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</si>
  <si>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</si>
  <si>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</si>
  <si>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</si>
  <si>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</si>
  <si>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</si>
  <si>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</si>
  <si>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</si>
  <si>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</si>
  <si>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</si>
  <si>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</si>
  <si>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</si>
  <si>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</si>
  <si>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</si>
  <si>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</si>
  <si>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</si>
  <si>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</si>
  <si>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</si>
  <si>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</si>
  <si>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</si>
  <si>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</si>
  <si>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</si>
  <si>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</si>
  <si>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</si>
  <si>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</si>
  <si>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</si>
  <si>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</si>
  <si>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</si>
  <si>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</si>
  <si>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</si>
  <si>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</si>
  <si>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</si>
  <si>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</si>
  <si>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</si>
  <si>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</si>
  <si>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</si>
  <si>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</si>
  <si>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</si>
  <si>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</si>
  <si>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</si>
  <si>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</si>
  <si>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</si>
  <si>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</si>
  <si>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</si>
  <si>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</si>
  <si>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</si>
  <si>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</si>
  <si>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</si>
  <si>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</si>
  <si>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</si>
  <si>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</si>
  <si>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</si>
  <si>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</si>
  <si>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</si>
  <si>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</si>
  <si>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</si>
  <si>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</si>
  <si>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</si>
  <si>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</si>
  <si>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</si>
  <si>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</si>
  <si>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</si>
  <si>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</si>
  <si>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</si>
  <si>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</si>
  <si>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</si>
  <si>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</si>
  <si>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</si>
  <si>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</si>
  <si>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</si>
  <si>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</si>
  <si>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</si>
  <si>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</si>
  <si>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</si>
  <si>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</si>
  <si>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</si>
  <si>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</si>
  <si>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</si>
  <si>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</si>
  <si>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</si>
  <si>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</si>
  <si>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</si>
  <si>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</si>
  <si>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</si>
  <si>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</si>
  <si>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</si>
  <si>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</si>
  <si>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</si>
  <si>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</si>
  <si>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</si>
  <si>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</si>
  <si>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</si>
  <si>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</si>
  <si>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</si>
  <si>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</si>
  <si>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</si>
  <si>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</si>
  <si>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</si>
  <si>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</si>
  <si>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</si>
  <si>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</si>
  <si>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</si>
  <si>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</si>
  <si>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</si>
  <si>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</si>
  <si>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</si>
  <si>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</si>
  <si>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</si>
  <si>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</si>
  <si>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</si>
  <si>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</si>
  <si>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</si>
  <si>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</si>
  <si>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</si>
  <si>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</si>
  <si>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</si>
  <si>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</si>
  <si>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</si>
  <si>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</si>
  <si>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</si>
  <si>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</si>
  <si>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</si>
  <si>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</si>
  <si>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</si>
  <si>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</si>
  <si>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</si>
  <si>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</si>
  <si>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</si>
  <si>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</si>
  <si>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</si>
  <si>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</si>
  <si>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</si>
  <si>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</si>
  <si>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</si>
  <si>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</si>
  <si>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</si>
  <si>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</si>
  <si>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</si>
  <si>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</si>
  <si>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</si>
  <si>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</si>
  <si>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</si>
  <si>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</si>
  <si>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</si>
  <si>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</si>
  <si>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</si>
  <si>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</si>
  <si>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</si>
  <si>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</si>
  <si>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</si>
  <si>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</si>
  <si>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</si>
  <si>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</si>
  <si>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</si>
  <si>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</si>
  <si>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</si>
  <si>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</si>
  <si>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</si>
  <si>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</si>
  <si>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</si>
  <si>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</si>
  <si>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</si>
  <si>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</si>
  <si>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</si>
  <si>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</si>
  <si>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</si>
  <si>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</si>
  <si>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</si>
  <si>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</si>
  <si>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</si>
  <si>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</si>
  <si>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</si>
  <si>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</si>
  <si>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</si>
  <si>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</si>
  <si>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</si>
  <si>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</si>
  <si>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</si>
  <si>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</si>
  <si>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</si>
  <si>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</si>
  <si>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</si>
  <si>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</si>
  <si>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</si>
  <si>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</si>
  <si>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</si>
  <si>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</si>
  <si>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</si>
  <si>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</si>
  <si>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</si>
  <si>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</si>
  <si>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</si>
  <si>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</si>
  <si>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</si>
  <si>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</si>
  <si>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</si>
  <si>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</si>
  <si>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</si>
  <si>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</si>
  <si>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</si>
  <si>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</si>
  <si>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</si>
  <si>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</si>
  <si>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</si>
  <si>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</si>
  <si>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</si>
  <si>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</si>
  <si>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</si>
  <si>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</si>
  <si>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</si>
  <si>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</si>
  <si>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</si>
  <si>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</si>
  <si>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</si>
  <si>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</si>
  <si>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</si>
  <si>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</si>
  <si>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</si>
  <si>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</si>
  <si>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</si>
  <si>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</si>
  <si>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</si>
  <si>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</si>
  <si>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</si>
  <si>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</si>
  <si>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</si>
  <si>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</si>
  <si>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</si>
  <si>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</si>
  <si>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</si>
  <si>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</si>
  <si>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</si>
  <si>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</si>
  <si>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</si>
  <si>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</si>
  <si>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</si>
  <si>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</si>
  <si>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</si>
  <si>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</si>
  <si>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</si>
  <si>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</si>
  <si>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</si>
  <si>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</si>
  <si>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</si>
  <si>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</si>
  <si>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</si>
  <si>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</si>
  <si>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</si>
  <si>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</si>
  <si>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</si>
  <si>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</si>
  <si>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</si>
  <si>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</si>
  <si>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</si>
  <si>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</si>
  <si>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</si>
  <si>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</si>
  <si>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</si>
  <si>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</si>
  <si>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</si>
  <si>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</si>
  <si>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</si>
  <si>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</si>
  <si>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</si>
  <si>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</si>
  <si>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</si>
  <si>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</si>
  <si>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</si>
  <si>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</si>
  <si>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</si>
  <si>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</si>
  <si>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</si>
  <si>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</si>
  <si>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</si>
  <si>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</si>
  <si>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</si>
  <si>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</si>
  <si>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</si>
  <si>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</si>
  <si>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</si>
  <si>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</si>
  <si>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</si>
  <si>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</si>
  <si>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</si>
  <si>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</si>
  <si>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</si>
  <si>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</si>
  <si>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</si>
  <si>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</si>
  <si>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</si>
  <si>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</si>
  <si>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</si>
  <si>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</si>
  <si>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</si>
  <si>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</si>
  <si>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</si>
  <si>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</si>
  <si>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</si>
  <si>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</si>
  <si>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</si>
  <si>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</si>
  <si>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</si>
  <si>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</si>
  <si>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</si>
  <si>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</si>
  <si>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</si>
  <si>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</si>
  <si>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</si>
  <si>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</si>
  <si>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</si>
  <si>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</si>
  <si>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</si>
  <si>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</si>
  <si>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</si>
  <si>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</si>
  <si>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</si>
  <si>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</si>
  <si>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</si>
  <si>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</si>
  <si>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</si>
  <si>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</si>
  <si>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</si>
  <si>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</si>
  <si>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</si>
  <si>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</si>
  <si>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</si>
  <si>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</si>
  <si>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</si>
  <si>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</si>
  <si>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</si>
  <si>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</si>
  <si>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</si>
  <si>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</si>
  <si>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</si>
  <si>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</si>
  <si>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</si>
  <si>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</si>
  <si>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</si>
  <si>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</si>
  <si>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</si>
  <si>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</si>
  <si>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</si>
  <si>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</si>
  <si>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</si>
  <si>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</si>
  <si>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</si>
  <si>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</si>
  <si>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</si>
  <si>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</si>
  <si>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</si>
  <si>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</si>
  <si>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</si>
  <si>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</si>
  <si>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</si>
  <si>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</si>
  <si>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</si>
  <si>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</si>
  <si>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</si>
  <si>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</si>
  <si>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</si>
  <si>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</si>
  <si>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</si>
  <si>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</si>
  <si>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</si>
  <si>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</si>
  <si>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</si>
  <si>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</si>
  <si>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</si>
  <si>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</si>
  <si>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</si>
  <si>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</si>
  <si>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</si>
  <si>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</si>
  <si>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</si>
  <si>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</si>
  <si>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</si>
  <si>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</si>
  <si>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</si>
  <si>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</si>
  <si>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</si>
  <si>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</si>
  <si>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</si>
  <si>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</si>
  <si>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</si>
  <si>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</si>
  <si>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</si>
  <si>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</si>
  <si>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</si>
  <si>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</si>
  <si>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</si>
  <si>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</si>
  <si>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</si>
  <si>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</si>
  <si>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</si>
  <si>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</si>
  <si>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</si>
  <si>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</si>
  <si>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</si>
  <si>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</si>
  <si>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</si>
  <si>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</si>
  <si>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</si>
  <si>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</si>
  <si>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</si>
  <si>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</si>
  <si>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</si>
  <si>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</si>
  <si>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</si>
  <si>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</si>
  <si>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</si>
  <si>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</si>
  <si>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</si>
  <si>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</si>
  <si>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</si>
  <si>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</si>
  <si>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</si>
  <si>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</si>
  <si>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</si>
  <si>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</si>
  <si>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</si>
  <si>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</si>
  <si>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</si>
  <si>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</si>
  <si>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</si>
  <si>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</si>
  <si>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</si>
  <si>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</si>
  <si>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</si>
  <si>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</si>
  <si>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</si>
  <si>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</si>
  <si>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</si>
  <si>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</si>
  <si>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</si>
  <si>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</si>
  <si>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</si>
  <si>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</si>
  <si>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</si>
  <si>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</si>
  <si>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</si>
  <si>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</si>
  <si>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</si>
  <si>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</si>
  <si>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</si>
  <si>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</si>
  <si>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</si>
  <si>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</si>
  <si>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</si>
  <si>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</si>
  <si>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</si>
  <si>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</si>
  <si>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</si>
  <si>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</si>
  <si>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</si>
  <si>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</si>
  <si>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</si>
  <si>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</si>
  <si>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</si>
  <si>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</si>
  <si>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</si>
  <si>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</si>
  <si>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</si>
  <si>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</si>
  <si>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</si>
  <si>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</si>
  <si>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</si>
  <si>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</si>
  <si>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</si>
  <si>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</si>
  <si>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</si>
  <si>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</si>
  <si>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</si>
  <si>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</si>
  <si>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</si>
  <si>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</si>
  <si>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</si>
  <si>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</si>
  <si>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</si>
  <si>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</si>
  <si>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</si>
  <si>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</si>
  <si>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</si>
  <si>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</si>
  <si>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</si>
  <si>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</si>
  <si>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</si>
  <si>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</si>
  <si>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</si>
  <si>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</si>
  <si>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</si>
  <si>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</si>
  <si>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</si>
  <si>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</si>
  <si>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</si>
  <si>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</si>
  <si>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</si>
  <si>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</si>
  <si>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</si>
  <si>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</si>
  <si>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</si>
  <si>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</si>
  <si>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</si>
  <si>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</si>
  <si>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</si>
  <si>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</si>
  <si>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</si>
  <si>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</si>
  <si>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</si>
  <si>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</si>
  <si>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</si>
  <si>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</si>
  <si>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</si>
  <si>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</si>
  <si>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</si>
  <si>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</si>
  <si>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</si>
  <si>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</si>
  <si>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</si>
  <si>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</si>
  <si>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</si>
  <si>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</si>
  <si>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</si>
  <si>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</si>
  <si>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</si>
  <si>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</si>
  <si>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</si>
  <si>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</si>
  <si>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</si>
  <si>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</si>
  <si>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</si>
  <si>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</si>
  <si>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</si>
  <si>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</si>
  <si>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</si>
  <si>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</si>
  <si>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</si>
  <si>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</si>
  <si>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</si>
  <si>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</si>
  <si>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</si>
  <si>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</si>
  <si>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</si>
  <si>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</si>
  <si>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</si>
  <si>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</si>
  <si>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</si>
  <si>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</si>
  <si>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</si>
  <si>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</si>
  <si>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</si>
  <si>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</si>
  <si>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</si>
  <si>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</si>
  <si>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</si>
  <si>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</si>
  <si>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</si>
  <si>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</si>
  <si>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</si>
  <si>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</si>
  <si>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</si>
  <si>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</si>
  <si>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</si>
  <si>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</si>
  <si>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</si>
  <si>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</si>
  <si>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</si>
  <si>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</si>
  <si>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</si>
  <si>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</si>
  <si>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</si>
  <si>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</si>
  <si>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</si>
  <si>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</si>
  <si>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</si>
  <si>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</si>
  <si>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</si>
  <si>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</si>
  <si>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</si>
  <si>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</si>
  <si>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</si>
  <si>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</si>
  <si>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</si>
  <si>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</si>
  <si>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</si>
  <si>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</si>
  <si>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</si>
  <si>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</si>
  <si>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</si>
  <si>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</si>
  <si>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</si>
  <si>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</si>
  <si>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</si>
  <si>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</si>
  <si>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</si>
  <si>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</si>
  <si>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</si>
  <si>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</si>
  <si>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</si>
  <si>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</si>
  <si>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</si>
  <si>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</si>
  <si>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</si>
  <si>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</si>
  <si>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</si>
  <si>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</si>
  <si>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</si>
  <si>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</si>
  <si>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</si>
  <si>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</si>
  <si>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</si>
  <si>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</si>
  <si>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</si>
  <si>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</si>
  <si>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</si>
  <si>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</si>
  <si>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</si>
  <si>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</si>
  <si>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</si>
  <si>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</si>
  <si>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</si>
  <si>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</si>
  <si>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</si>
  <si>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</si>
  <si>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</si>
  <si>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</si>
  <si>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</si>
  <si>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</si>
  <si>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</si>
  <si>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</si>
  <si>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</si>
  <si>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</si>
  <si>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</si>
  <si>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</si>
  <si>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</si>
  <si>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</si>
  <si>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</si>
  <si>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</si>
  <si>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</si>
  <si>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</si>
  <si>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</si>
  <si>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</si>
  <si>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</si>
  <si>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</si>
  <si>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</si>
  <si>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</si>
  <si>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</si>
  <si>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</si>
  <si>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</si>
  <si>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</si>
  <si>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</si>
  <si>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</si>
  <si>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</si>
  <si>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</si>
  <si>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</si>
  <si>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</si>
  <si>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</si>
  <si>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</si>
  <si>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</si>
  <si>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</si>
  <si>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</si>
  <si>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</si>
  <si>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</si>
  <si>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</si>
  <si>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</si>
  <si>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</si>
  <si>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</si>
  <si>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</si>
  <si>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</si>
  <si>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</si>
  <si>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</si>
  <si>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</si>
  <si>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</si>
  <si>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</si>
  <si>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</si>
  <si>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</si>
  <si>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</si>
  <si>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</si>
  <si>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</si>
  <si>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</si>
  <si>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</si>
  <si>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</si>
  <si>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</si>
  <si>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</si>
  <si>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</si>
  <si>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</si>
  <si>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</si>
  <si>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</si>
  <si>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</si>
  <si>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</si>
  <si>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</si>
  <si>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</si>
  <si>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</si>
  <si>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</si>
  <si>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</si>
  <si>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</si>
  <si>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</si>
  <si>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</si>
  <si>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</si>
  <si>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</si>
  <si>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</si>
  <si>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</si>
  <si>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</si>
  <si>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</si>
  <si>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</si>
  <si>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</si>
  <si>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</si>
  <si>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</si>
  <si>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</si>
  <si>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</si>
  <si>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</si>
  <si>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</si>
  <si>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</si>
  <si>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</si>
  <si>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</si>
  <si>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</si>
  <si>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</si>
  <si>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</si>
  <si>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</si>
  <si>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</si>
  <si>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</si>
  <si>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</si>
  <si>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</si>
  <si>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</si>
  <si>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</si>
  <si>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</si>
  <si>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</si>
  <si>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</si>
  <si>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</si>
  <si>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</si>
  <si>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</si>
  <si>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</si>
  <si>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</si>
  <si>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</si>
  <si>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</si>
  <si>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</si>
  <si>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</si>
  <si>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</si>
  <si>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</si>
  <si>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</si>
  <si>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</si>
  <si>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</si>
  <si>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</si>
  <si>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</si>
  <si>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</si>
  <si>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</si>
  <si>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</si>
  <si>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</si>
  <si>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</si>
  <si>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</si>
  <si>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</si>
  <si>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</si>
  <si>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</si>
  <si>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</si>
  <si>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</si>
  <si>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</si>
  <si>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</si>
  <si>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</si>
  <si>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</si>
  <si>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</si>
  <si>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</si>
  <si>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</si>
  <si>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</si>
  <si>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</si>
  <si>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</si>
  <si>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</si>
  <si>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</si>
  <si>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</si>
  <si>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</si>
  <si>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</si>
  <si>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</si>
  <si>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</si>
  <si>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</si>
  <si>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</si>
  <si>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</si>
  <si>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</si>
  <si>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</si>
  <si>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</si>
  <si>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</si>
  <si>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</si>
  <si>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</si>
  <si>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</si>
  <si>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</si>
  <si>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</si>
  <si>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</si>
  <si>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</si>
  <si>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</si>
  <si>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</si>
  <si>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</si>
  <si>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</si>
  <si>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</si>
  <si>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</si>
  <si>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</si>
  <si>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</si>
  <si>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</si>
  <si>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</si>
  <si>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</si>
  <si>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</si>
  <si>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</si>
  <si>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</si>
  <si>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</si>
  <si>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</si>
  <si>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</si>
  <si>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</si>
  <si>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</si>
  <si>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</si>
  <si>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</si>
  <si>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</si>
  <si>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</si>
  <si>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</si>
  <si>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</si>
  <si>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</si>
  <si>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</si>
  <si>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</si>
  <si>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</si>
  <si>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</si>
  <si>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</si>
  <si>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</si>
  <si>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</si>
  <si>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</si>
  <si>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</si>
  <si>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</si>
  <si>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</si>
  <si>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</si>
  <si>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</si>
  <si>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</si>
  <si>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</si>
  <si>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</si>
  <si>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</si>
  <si>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</si>
  <si>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</si>
  <si>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</si>
  <si>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</si>
  <si>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</si>
  <si>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</si>
  <si>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</si>
  <si>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</si>
  <si>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</si>
  <si>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</si>
  <si>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</si>
  <si>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</si>
  <si>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</si>
  <si>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</si>
  <si>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</si>
  <si>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</si>
  <si>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</si>
  <si>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</si>
  <si>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</si>
  <si>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</si>
  <si>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</si>
  <si>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</si>
  <si>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</si>
  <si>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</si>
  <si>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</si>
  <si>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</si>
  <si>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</si>
  <si>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</si>
  <si>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</si>
  <si>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</si>
  <si>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</si>
  <si>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</si>
  <si>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</si>
  <si>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</si>
  <si>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</si>
  <si>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</si>
  <si>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</si>
  <si>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</si>
  <si>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</si>
  <si>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</si>
  <si>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</si>
  <si>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</si>
  <si>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</si>
  <si>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</si>
  <si>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</si>
  <si>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</si>
  <si>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</si>
  <si>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</si>
  <si>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</si>
  <si>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</si>
  <si>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</si>
  <si>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</si>
  <si>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</si>
  <si>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</si>
  <si>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</si>
  <si>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</si>
  <si>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</si>
  <si>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</si>
  <si>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</si>
  <si>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</si>
  <si>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</si>
  <si>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</si>
  <si>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</si>
  <si>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</si>
  <si>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</si>
  <si>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</si>
  <si>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</si>
  <si>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</si>
  <si>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</si>
  <si>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</si>
  <si>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</si>
  <si>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</si>
  <si>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</si>
  <si>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</si>
  <si>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</si>
  <si>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</si>
  <si>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</si>
  <si>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</si>
  <si>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</si>
  <si>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</si>
  <si>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</si>
  <si>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</si>
  <si>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</si>
  <si>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</si>
  <si>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</si>
  <si>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</si>
  <si>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</si>
  <si>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</si>
  <si>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</si>
  <si>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</si>
  <si>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</si>
  <si>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</si>
  <si>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</si>
  <si>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</si>
  <si>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</si>
  <si>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</si>
  <si>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</si>
  <si>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</si>
  <si>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</si>
  <si>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</si>
  <si>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</si>
  <si>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</si>
  <si>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</si>
  <si>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</si>
  <si>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</si>
  <si>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</si>
  <si>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</si>
  <si>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</si>
  <si>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</si>
  <si>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</si>
  <si>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</si>
  <si>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</si>
  <si>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</si>
  <si>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</si>
  <si>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</si>
  <si>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</si>
  <si>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</si>
  <si>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</si>
  <si>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</si>
  <si>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</si>
  <si>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</si>
  <si>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</si>
  <si>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</si>
  <si>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</si>
  <si>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</si>
  <si>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</si>
  <si>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</si>
  <si>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</si>
  <si>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</si>
  <si>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</si>
  <si>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</si>
  <si>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</si>
  <si>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</si>
  <si>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</si>
  <si>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</si>
  <si>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</si>
  <si>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</si>
  <si>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</si>
  <si>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</si>
  <si>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</si>
  <si>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</si>
  <si>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</si>
  <si>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</si>
  <si>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</si>
  <si>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</si>
  <si>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</si>
  <si>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</si>
  <si>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</si>
  <si>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</si>
  <si>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</si>
  <si>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</si>
  <si>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</si>
  <si>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</si>
  <si>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</si>
  <si>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</si>
  <si>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</si>
  <si>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</si>
  <si>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</si>
  <si>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</si>
  <si>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</si>
  <si>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</si>
  <si>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</si>
  <si>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</si>
  <si>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</si>
  <si>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</si>
  <si>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</si>
  <si>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</si>
  <si>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</si>
  <si>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</si>
  <si>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</si>
  <si>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</si>
  <si>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</si>
  <si>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</si>
  <si>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</si>
  <si>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</si>
  <si>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</si>
  <si>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</si>
  <si>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</si>
  <si>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</si>
  <si>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</si>
  <si>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</si>
  <si>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</si>
  <si>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</si>
  <si>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</si>
  <si>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</si>
  <si>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</si>
  <si>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</si>
  <si>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</si>
  <si>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</si>
  <si>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</si>
  <si>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</si>
  <si>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</si>
  <si>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</si>
  <si>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</si>
  <si>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</si>
  <si>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</si>
  <si>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</si>
  <si>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</si>
  <si>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</si>
  <si>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</si>
  <si>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</si>
  <si>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</si>
  <si>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</si>
  <si>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</si>
  <si>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</si>
  <si>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</si>
  <si>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</si>
  <si>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</si>
  <si>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</si>
  <si>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</si>
  <si>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</si>
  <si>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</si>
  <si>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</si>
  <si>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</si>
  <si>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</si>
  <si>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</si>
  <si>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</si>
  <si>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</si>
  <si>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</si>
  <si>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</si>
  <si>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</si>
  <si>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</si>
  <si>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</si>
  <si>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</si>
  <si>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</si>
  <si>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</si>
  <si>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</si>
  <si>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</si>
  <si>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</si>
  <si>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</si>
  <si>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</si>
  <si>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</si>
  <si>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</si>
  <si>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</si>
  <si>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</si>
  <si>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</si>
  <si>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</si>
  <si>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</si>
  <si>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</si>
  <si>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</si>
  <si>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</si>
  <si>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</si>
  <si>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</si>
  <si>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</si>
  <si>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</si>
  <si>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</si>
  <si>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</si>
  <si>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</si>
  <si>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</si>
  <si>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</si>
  <si>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</si>
  <si>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</si>
  <si>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</si>
  <si>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</si>
  <si>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</si>
  <si>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</si>
  <si>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</si>
  <si>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</si>
  <si>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</si>
  <si>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</si>
  <si>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</si>
  <si>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</si>
  <si>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</si>
  <si>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</si>
  <si>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</si>
  <si>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</si>
  <si>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</si>
  <si>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</si>
  <si>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</si>
  <si>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</si>
  <si>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</si>
  <si>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</si>
  <si>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</si>
  <si>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</si>
  <si>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</si>
  <si>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</si>
  <si>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</si>
  <si>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</si>
  <si>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</si>
  <si>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</si>
  <si>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</si>
  <si>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</si>
  <si>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</si>
  <si>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</si>
  <si>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</si>
  <si>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</si>
  <si>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</si>
  <si>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</si>
  <si>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</si>
  <si>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</si>
  <si>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</si>
  <si>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</si>
  <si>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</si>
  <si>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</si>
  <si>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</si>
  <si>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</si>
  <si>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</si>
  <si>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</si>
  <si>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</si>
  <si>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</si>
  <si>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</si>
  <si>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</si>
  <si>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</si>
  <si>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</si>
  <si>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</si>
  <si>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</si>
  <si>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</si>
  <si>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</si>
  <si>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</si>
  <si>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</si>
  <si>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</si>
  <si>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</si>
  <si>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</si>
  <si>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</si>
  <si>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</si>
  <si>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</si>
  <si>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</si>
  <si>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</si>
  <si>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</si>
  <si>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</si>
  <si>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</si>
  <si>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</si>
  <si>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</si>
  <si>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</si>
  <si>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</si>
  <si>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</si>
  <si>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</si>
  <si>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</si>
  <si>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</si>
  <si>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</si>
  <si>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</si>
  <si>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</si>
  <si>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</si>
  <si>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</si>
  <si>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</si>
  <si>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</si>
  <si>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</si>
  <si>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</si>
  <si>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</si>
  <si>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</si>
  <si>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</si>
  <si>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</si>
  <si>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</si>
  <si>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</si>
  <si>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</si>
  <si>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</si>
  <si>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</si>
  <si>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</si>
  <si>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</si>
  <si>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</si>
  <si>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</si>
  <si>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</si>
  <si>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</si>
  <si>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</si>
  <si>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</si>
  <si>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</si>
  <si>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</si>
  <si>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</si>
  <si>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</si>
  <si>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</si>
  <si>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</si>
  <si>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</si>
  <si>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</si>
  <si>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</si>
  <si>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</si>
  <si>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</si>
  <si>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</si>
  <si>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</si>
  <si>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</si>
  <si>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</si>
  <si>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</si>
  <si>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</si>
  <si>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</si>
  <si>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</si>
  <si>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</si>
  <si>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</si>
  <si>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</si>
  <si>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</si>
  <si>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</si>
  <si>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</si>
  <si>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</si>
  <si>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</si>
  <si>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</si>
  <si>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</si>
  <si>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</si>
  <si>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</si>
  <si>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</si>
  <si>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</si>
  <si>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</si>
  <si>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</si>
  <si>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</si>
  <si>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</si>
  <si>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</si>
  <si>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</si>
  <si>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</si>
  <si>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</si>
  <si>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</si>
  <si>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</si>
  <si>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</si>
  <si>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</si>
  <si>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</si>
  <si>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</si>
  <si>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</si>
  <si>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</si>
  <si>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</si>
  <si>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</si>
  <si>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</si>
  <si>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</si>
  <si>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</si>
  <si>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</si>
  <si>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</si>
  <si>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</si>
  <si>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</si>
  <si>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</si>
  <si>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</si>
  <si>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</si>
  <si>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</si>
  <si>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</si>
  <si>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</si>
  <si>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</si>
  <si>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</si>
  <si>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</si>
  <si>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</si>
  <si>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</si>
  <si>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</si>
  <si>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</si>
  <si>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</si>
  <si>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</si>
  <si>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</si>
  <si>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</si>
  <si>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</si>
  <si>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</si>
  <si>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</si>
  <si>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</si>
  <si>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</si>
  <si>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</si>
  <si>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</si>
  <si>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</si>
  <si>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</si>
  <si>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</si>
  <si>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</si>
  <si>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</si>
  <si>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</si>
  <si>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</si>
  <si>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</si>
  <si>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</si>
  <si>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</si>
  <si>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</si>
  <si>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</si>
  <si>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</si>
  <si>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</si>
  <si>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</si>
  <si>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</si>
  <si>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</si>
  <si>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</si>
  <si>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</si>
  <si>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</si>
  <si>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</si>
  <si>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</si>
  <si>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</si>
  <si>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</si>
  <si>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</si>
  <si>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</si>
  <si>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</si>
  <si>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</si>
  <si>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</si>
  <si>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</si>
  <si>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</si>
  <si>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</si>
  <si>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</si>
  <si>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</si>
  <si>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</si>
  <si>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</si>
  <si>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</si>
  <si>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</si>
  <si>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</si>
  <si>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</si>
  <si>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</si>
  <si>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</si>
  <si>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</si>
  <si>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</si>
  <si>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</si>
  <si>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</si>
  <si>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</si>
  <si>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</si>
  <si>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</si>
  <si>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</si>
  <si>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</si>
  <si>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</si>
  <si>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</si>
  <si>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</si>
  <si>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</si>
  <si>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</si>
  <si>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</si>
  <si>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</si>
  <si>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</si>
  <si>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</si>
  <si>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</si>
  <si>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</si>
  <si>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</si>
  <si>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</si>
  <si>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</si>
  <si>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</si>
  <si>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</si>
  <si>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</si>
  <si>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</si>
  <si>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</si>
  <si>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</si>
  <si>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</si>
  <si>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</si>
  <si>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</si>
  <si>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</si>
  <si>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</si>
  <si>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</si>
  <si>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</si>
  <si>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</si>
  <si>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</si>
  <si>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</si>
  <si>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</si>
  <si>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</si>
  <si>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</si>
  <si>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</si>
  <si>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</si>
  <si>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</si>
  <si>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</si>
  <si>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</si>
  <si>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</si>
  <si>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</si>
  <si>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</si>
  <si>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</si>
  <si>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</si>
  <si>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</si>
  <si>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</si>
  <si>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</si>
  <si>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</si>
  <si>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</si>
  <si>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</si>
  <si>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</si>
  <si>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</si>
  <si>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</si>
  <si>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</si>
  <si>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</si>
  <si>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</si>
  <si>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</si>
  <si>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</si>
  <si>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</si>
  <si>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</si>
  <si>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</si>
  <si>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</si>
  <si>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</si>
  <si>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</si>
  <si>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</si>
  <si>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</si>
  <si>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</si>
  <si>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</si>
  <si>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</si>
  <si>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</si>
  <si>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</si>
  <si>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</si>
  <si>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</si>
  <si>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</si>
  <si>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</si>
  <si>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</si>
  <si>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</si>
  <si>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</si>
  <si>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</si>
  <si>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</si>
  <si>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</si>
  <si>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</si>
  <si>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</si>
  <si>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</si>
  <si>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</si>
  <si>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</si>
  <si>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</si>
  <si>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</si>
  <si>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</si>
  <si>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</si>
  <si>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</si>
  <si>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</si>
  <si>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</si>
  <si>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</si>
  <si>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</si>
  <si>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</si>
  <si>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</si>
  <si>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</si>
  <si>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</si>
  <si>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</si>
  <si>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</si>
  <si>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</si>
  <si>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</si>
  <si>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</si>
  <si>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</si>
  <si>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</si>
  <si>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</si>
  <si>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</si>
  <si>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</si>
  <si>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</si>
  <si>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</si>
  <si>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</si>
  <si>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</si>
  <si>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</si>
  <si>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</si>
  <si>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</si>
  <si>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</si>
  <si>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</si>
  <si>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</si>
  <si>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</si>
  <si>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</si>
  <si>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</si>
  <si>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</si>
  <si>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</si>
  <si>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</si>
  <si>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</si>
  <si>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</si>
  <si>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</si>
  <si>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</si>
  <si>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</si>
  <si>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</si>
  <si>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</si>
  <si>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</si>
  <si>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</si>
  <si>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</si>
  <si>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</si>
  <si>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</si>
  <si>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</si>
  <si>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</si>
  <si>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</si>
  <si>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</si>
  <si>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</si>
  <si>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</si>
  <si>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</si>
  <si>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</si>
  <si>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</si>
  <si>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</si>
  <si>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</si>
  <si>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</si>
  <si>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</si>
  <si>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</si>
  <si>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</si>
  <si>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</si>
  <si>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</si>
  <si>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</si>
  <si>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</si>
  <si>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</si>
  <si>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</si>
  <si>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</si>
  <si>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</si>
  <si>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</si>
  <si>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</si>
  <si>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</si>
  <si>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</si>
  <si>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</si>
  <si>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</si>
  <si>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</si>
  <si>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</si>
  <si>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</si>
  <si>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</si>
  <si>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</si>
  <si>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</si>
  <si>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</si>
  <si>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</si>
  <si>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</si>
  <si>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</si>
  <si>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</si>
  <si>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</si>
  <si>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</si>
  <si>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</si>
  <si>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</si>
  <si>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</si>
  <si>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</si>
  <si>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</si>
  <si>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</si>
  <si>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</si>
  <si>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</si>
  <si>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</si>
  <si>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</si>
  <si>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</si>
  <si>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</si>
  <si>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</si>
  <si>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</si>
  <si>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</si>
  <si>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</si>
  <si>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</si>
  <si>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</si>
  <si>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</si>
  <si>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</si>
  <si>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</si>
  <si>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</si>
  <si>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</si>
  <si>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</si>
  <si>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</si>
  <si>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</si>
  <si>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</si>
  <si>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</si>
  <si>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</si>
  <si>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</si>
  <si>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</si>
  <si>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</si>
  <si>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</si>
  <si>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</si>
  <si>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</si>
  <si>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</si>
  <si>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</si>
  <si>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</si>
  <si>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</si>
  <si>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</si>
  <si>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</si>
  <si>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</si>
  <si>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</si>
  <si>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</si>
  <si>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</si>
  <si>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</si>
  <si>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</si>
  <si>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</si>
  <si>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</si>
  <si>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</si>
  <si>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</si>
  <si>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</si>
  <si>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</si>
  <si>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</si>
  <si>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</si>
  <si>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</si>
  <si>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</si>
  <si>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</si>
  <si>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</si>
  <si>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</si>
  <si>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</si>
  <si>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</si>
  <si>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</si>
  <si>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</si>
  <si>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</si>
  <si>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</si>
  <si>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</si>
  <si>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</si>
  <si>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</si>
  <si>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</si>
  <si>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</si>
  <si>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</si>
  <si>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</si>
  <si>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</si>
  <si>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</si>
  <si>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</si>
  <si>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</si>
  <si>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</si>
  <si>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</si>
  <si>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</si>
  <si>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</si>
  <si>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</si>
  <si>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</si>
  <si>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</si>
  <si>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</si>
  <si>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</si>
  <si>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</si>
  <si>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</si>
  <si>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</si>
  <si>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</si>
  <si>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</si>
  <si>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</si>
  <si>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</si>
  <si>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</si>
  <si>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</si>
  <si>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</si>
  <si>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</si>
  <si>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</si>
  <si>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</si>
  <si>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</si>
  <si>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</si>
  <si>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</si>
  <si>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</si>
  <si>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</si>
  <si>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</si>
  <si>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</si>
  <si>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</si>
  <si>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</si>
  <si>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</si>
  <si>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</si>
  <si>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</si>
  <si>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</si>
  <si>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</si>
  <si>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</si>
  <si>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</si>
  <si>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</si>
  <si>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</si>
  <si>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</si>
  <si>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</si>
  <si>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</si>
  <si>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</si>
  <si>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</si>
  <si>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</si>
  <si>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</si>
  <si>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</si>
  <si>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</si>
  <si>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</si>
  <si>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</si>
  <si>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</si>
  <si>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</si>
  <si>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</si>
  <si>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</si>
  <si>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</si>
  <si>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</si>
  <si>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</si>
  <si>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</si>
  <si>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</si>
  <si>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</si>
  <si>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</si>
  <si>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</si>
  <si>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</si>
  <si>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</si>
  <si>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</si>
  <si>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</si>
  <si>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</si>
  <si>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</si>
  <si>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</si>
  <si>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</si>
  <si>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</si>
  <si>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</si>
  <si>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</si>
  <si>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</si>
  <si>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</si>
  <si>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</si>
  <si>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</si>
  <si>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</si>
  <si>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</si>
  <si>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</si>
  <si>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</si>
  <si>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</si>
  <si>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</si>
  <si>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</si>
  <si>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</si>
  <si>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</si>
  <si>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</si>
  <si>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</si>
  <si>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</si>
  <si>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</si>
  <si>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</si>
  <si>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</si>
  <si>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</si>
  <si>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</si>
  <si>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</si>
  <si>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</si>
  <si>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</si>
  <si>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</si>
  <si>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</si>
  <si>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</si>
  <si>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</si>
  <si>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</si>
  <si>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</si>
  <si>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</si>
  <si>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</si>
  <si>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</si>
  <si>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</si>
  <si>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</si>
  <si>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</si>
  <si>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</si>
  <si>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</si>
  <si>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</si>
  <si>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</si>
  <si>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</si>
  <si>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</si>
  <si>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</si>
  <si>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</si>
  <si>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</si>
  <si>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</si>
  <si>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</si>
  <si>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</si>
  <si>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</si>
  <si>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</si>
  <si>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</si>
  <si>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</si>
  <si>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</si>
  <si>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</si>
  <si>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</si>
  <si>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</si>
  <si>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</si>
  <si>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</si>
  <si>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</si>
  <si>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</si>
  <si>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</si>
  <si>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</si>
  <si>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</si>
  <si>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</si>
  <si>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</si>
  <si>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</si>
  <si>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</si>
  <si>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</si>
  <si>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</si>
  <si>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</si>
  <si>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</si>
  <si>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</si>
  <si>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</si>
  <si>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</si>
  <si>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</si>
  <si>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</si>
  <si>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</si>
  <si>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</si>
  <si>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</si>
  <si>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</si>
  <si>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</si>
  <si>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</si>
  <si>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</si>
  <si>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</si>
  <si>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</si>
  <si>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</si>
  <si>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</si>
  <si>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</si>
  <si>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</si>
  <si>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</si>
  <si>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</si>
  <si>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</si>
  <si>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</si>
  <si>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</si>
  <si>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</si>
  <si>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</si>
  <si>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</si>
  <si>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</si>
  <si>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</si>
  <si>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</si>
  <si>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</si>
  <si>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</si>
  <si>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</si>
  <si>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</si>
  <si>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</si>
  <si>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</si>
  <si>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</si>
  <si>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</si>
  <si>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</si>
  <si>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</si>
  <si>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</si>
  <si>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</si>
  <si>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</si>
  <si>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</si>
  <si>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</si>
  <si>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</si>
  <si>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</si>
  <si>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</si>
  <si>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</si>
  <si>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</si>
  <si>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</si>
  <si>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</si>
  <si>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</si>
  <si>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</si>
  <si>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</si>
  <si>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</si>
  <si>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</si>
  <si>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</si>
  <si>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</si>
  <si>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</si>
  <si>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</si>
  <si>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</si>
  <si>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</si>
  <si>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</si>
  <si>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</si>
  <si>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</si>
  <si>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</si>
  <si>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</si>
  <si>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</si>
  <si>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</si>
  <si>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</si>
  <si>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</si>
  <si>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</si>
  <si>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</si>
  <si>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</si>
  <si>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</si>
  <si>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</si>
  <si>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</si>
  <si>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</si>
  <si>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</si>
  <si>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</si>
  <si>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</si>
  <si>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</si>
  <si>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</si>
  <si>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</si>
  <si>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</si>
  <si>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</si>
  <si>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</si>
  <si>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</si>
  <si>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</si>
  <si>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</si>
  <si>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</si>
  <si>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</si>
  <si>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</si>
  <si>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</si>
  <si>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</si>
  <si>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</si>
  <si>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</si>
  <si>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</si>
  <si>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</si>
  <si>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</si>
  <si>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</si>
  <si>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</si>
  <si>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</si>
  <si>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</si>
  <si>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</si>
  <si>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</si>
  <si>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</si>
  <si>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</si>
  <si>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</si>
  <si>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</si>
  <si>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</si>
  <si>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</si>
  <si>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</si>
  <si>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</si>
  <si>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</si>
  <si>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</si>
  <si>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</si>
  <si>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</si>
  <si>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</si>
  <si>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</si>
  <si>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</si>
  <si>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</si>
  <si>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</si>
  <si>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</si>
  <si>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</si>
  <si>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</si>
  <si>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</si>
  <si>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</si>
  <si>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</si>
  <si>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</si>
  <si>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</si>
  <si>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</si>
  <si>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</si>
  <si>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</si>
  <si>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</si>
  <si>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</si>
  <si>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</si>
  <si>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</si>
  <si>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</si>
  <si>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</si>
  <si>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</si>
  <si>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</si>
  <si>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</si>
  <si>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</si>
  <si>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</si>
  <si>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</si>
  <si>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</si>
  <si>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</si>
  <si>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</si>
  <si>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</si>
  <si>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</si>
  <si>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</si>
  <si>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</si>
  <si>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</si>
  <si>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</si>
  <si>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</si>
  <si>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</si>
  <si>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</si>
  <si>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</si>
  <si>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</si>
  <si>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</si>
  <si>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</si>
  <si>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</si>
  <si>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</si>
  <si>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</si>
  <si>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</si>
  <si>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</si>
  <si>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</si>
  <si>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</si>
  <si>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</si>
  <si>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</si>
  <si>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</si>
  <si>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</si>
  <si>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</si>
  <si>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</si>
  <si>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</si>
  <si>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</si>
  <si>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</si>
  <si>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</si>
  <si>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</si>
  <si>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</si>
  <si>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</si>
  <si>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</si>
  <si>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</si>
  <si>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</si>
  <si>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</si>
  <si>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</si>
  <si>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</si>
  <si>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</si>
  <si>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</si>
  <si>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</si>
  <si>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</si>
  <si>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</si>
  <si>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</si>
  <si>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</si>
  <si>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</si>
  <si>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</si>
  <si>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</si>
  <si>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</si>
  <si>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</si>
  <si>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</si>
  <si>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</si>
  <si>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</si>
  <si>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</si>
  <si>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</si>
  <si>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</si>
  <si>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</si>
  <si>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</si>
  <si>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</si>
  <si>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</si>
  <si>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</si>
  <si>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</si>
  <si>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</si>
  <si>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</si>
  <si>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</si>
  <si>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</si>
  <si>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</si>
  <si>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</si>
  <si>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</si>
  <si>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</si>
  <si>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</si>
  <si>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</si>
  <si>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</si>
  <si>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</si>
  <si>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</si>
  <si>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</si>
  <si>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</si>
  <si>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</si>
  <si>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</si>
  <si>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</si>
  <si>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</si>
  <si>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</si>
  <si>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</si>
  <si>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</si>
  <si>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</si>
  <si>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</si>
  <si>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</si>
  <si>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</si>
  <si>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</si>
  <si>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</si>
  <si>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</si>
  <si>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</si>
  <si>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</si>
  <si>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</si>
  <si>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</si>
  <si>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</si>
  <si>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</si>
  <si>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</si>
  <si>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</si>
  <si>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</si>
  <si>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</si>
  <si>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</si>
  <si>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</si>
  <si>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</si>
  <si>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</si>
  <si>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</si>
  <si>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</si>
  <si>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</si>
  <si>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</si>
  <si>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</si>
  <si>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</si>
  <si>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</si>
  <si>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</si>
  <si>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</si>
  <si>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</si>
  <si>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</si>
  <si>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</si>
  <si>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</si>
  <si>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</si>
  <si>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</si>
  <si>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</si>
  <si>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</si>
  <si>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</si>
  <si>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</si>
  <si>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</si>
  <si>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</si>
  <si>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</si>
  <si>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</si>
  <si>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</si>
  <si>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</si>
  <si>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</si>
  <si>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</si>
  <si>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</si>
  <si>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</si>
  <si>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</si>
  <si>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</si>
  <si>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</si>
  <si>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</si>
  <si>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</si>
  <si>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</si>
  <si>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</si>
  <si>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</si>
  <si>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</si>
  <si>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</si>
  <si>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</si>
  <si>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</si>
  <si>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</si>
  <si>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</si>
  <si>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</si>
  <si>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</si>
  <si>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</si>
  <si>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</si>
  <si>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</si>
  <si>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</si>
  <si>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</si>
  <si>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</si>
  <si>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</si>
  <si>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</si>
  <si>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</si>
  <si>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</si>
  <si>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</si>
  <si>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</si>
  <si>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</si>
  <si>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</si>
  <si>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</si>
  <si>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</si>
  <si>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</si>
  <si>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</si>
  <si>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</si>
  <si>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</si>
  <si>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</si>
  <si>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</si>
  <si>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</si>
  <si>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</si>
  <si>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</si>
  <si>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</si>
  <si>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</si>
  <si>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</si>
  <si>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</si>
  <si>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</si>
  <si>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</si>
  <si>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</si>
  <si>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</si>
  <si>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</si>
  <si>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</si>
  <si>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</si>
  <si>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</si>
  <si>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</si>
  <si>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</si>
  <si>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</si>
  <si>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</si>
  <si>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</si>
  <si>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</si>
  <si>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</si>
  <si>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</si>
  <si>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</si>
  <si>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</si>
  <si>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</si>
  <si>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</si>
  <si>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</si>
  <si>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</si>
  <si>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</si>
  <si>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</si>
  <si>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</si>
  <si>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</si>
  <si>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</si>
  <si>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</si>
  <si>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</si>
  <si>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</si>
  <si>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</si>
  <si>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</si>
  <si>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</si>
  <si>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</si>
  <si>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</si>
  <si>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</si>
  <si>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</si>
  <si>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</si>
  <si>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</si>
  <si>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</si>
  <si>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</si>
  <si>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</si>
  <si>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</si>
  <si>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</si>
  <si>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</si>
  <si>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</si>
  <si>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</si>
  <si>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</si>
  <si>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</si>
  <si>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</si>
  <si>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</si>
  <si>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</si>
  <si>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</si>
  <si>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</si>
  <si>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</si>
  <si>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</si>
  <si>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</si>
  <si>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</si>
  <si>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1月</t>
  </si>
  <si>
    <t>2月</t>
  </si>
  <si>
    <t>3月</t>
  </si>
  <si>
    <t>4月</t>
  </si>
  <si>
    <t>5月</t>
  </si>
  <si>
    <t>6月</t>
  </si>
  <si>
    <t>7月</t>
  </si>
  <si>
    <t>8月</t>
  </si>
  <si>
    <t>9月</t>
  </si>
  <si>
    <t>10月</t>
  </si>
  <si>
    <t>11月</t>
  </si>
  <si>
    <t>12月</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</si>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</sst>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7" formatCode="[$-409]dd\-mmm\-yyyy"/>
    <numFmt numFmtId="168" formatCode="0.0\ &quot;kg&quot;"/>
    <numFmt numFmtId="169" formatCode="_-[$$-409]* #,##0.00_ ;_-[$$-409]* \-#,##0.00\ ;_-[$$-409]* &quot;-&quot;??_ ;_-@_ "/>
    <numFmt numFmtId="172" formatCode="#,##0_ ;\-#,##0\ "/>
    <numFmt numFmtId="173" formatCode="[$-409]mmm"/>
    <numFmt numFmtId="174"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172" fontId="0" fillId="0" borderId="0" xfId="0" applyNumberFormat="1"/>
    <xf numFmtId="173" fontId="0" fillId="0" borderId="0" xfId="0" applyNumberFormat="1"/>
    <xf numFmtId="174"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0"/>
        <color theme="0"/>
        <name val="Calibri"/>
        <family val="2"/>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409]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8CD73F92-CA83-4C17-9BD6-5D46C8BE67B5}">
      <tableStyleElement type="wholeTable" dxfId="1"/>
      <tableStyleElement type="headerRow" dxfId="0"/>
    </tableStyle>
    <tableStyle name="Purple Timeline Style" pivot="0" table="0" count="8" xr9:uid="{34208406-ACC4-4464-AE75-D02E538F4DB9}">
      <tableStyleElement type="wholeTable" dxfId="4"/>
      <tableStyleElement type="headerRow" dxfId="3"/>
    </tableStyle>
  </tableStyles>
  <colors>
    <mruColors>
      <color rgb="FF00E668"/>
      <color rgb="FF8FFFC2"/>
      <color rgb="FF2DFF8C"/>
      <color rgb="FF05FF76"/>
      <color rgb="FF009A46"/>
      <color rgb="FF002E15"/>
      <color rgb="FFC49DEB"/>
      <color rgb="FF3C1464"/>
      <color rgb="FF9650C8"/>
      <color rgb="FF833C0B"/>
    </mruColors>
  </colors>
  <extLst>
    <ext xmlns:x14="http://schemas.microsoft.com/office/spreadsheetml/2009/9/main" uri="{46F421CA-312F-682f-3DD2-61675219B42D}">
      <x14:dxfs count="4">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9650C8"/>
            </patternFill>
          </fill>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33C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33C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33C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rgbClr val="00B0F0"/>
              </a:solidFill>
              <a:round/>
            </a:ln>
            <a:effectLst/>
          </c:spPr>
          <c:marker>
            <c:symbol val="none"/>
          </c:marker>
          <c:cat>
            <c:multiLvlStrRef>
              <c:f>TotalSales!$A$5:$B$52</c:f>
              <c:multiLvlStrCache>
                <c:ptCount val="4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pt idx="24">
                    <c:v>1月</c:v>
                  </c:pt>
                  <c:pt idx="25">
                    <c:v>2月</c:v>
                  </c:pt>
                  <c:pt idx="26">
                    <c:v>3月</c:v>
                  </c:pt>
                  <c:pt idx="27">
                    <c:v>4月</c:v>
                  </c:pt>
                  <c:pt idx="28">
                    <c:v>5月</c:v>
                  </c:pt>
                  <c:pt idx="29">
                    <c:v>6月</c:v>
                  </c:pt>
                  <c:pt idx="30">
                    <c:v>7月</c:v>
                  </c:pt>
                  <c:pt idx="31">
                    <c:v>8月</c:v>
                  </c:pt>
                  <c:pt idx="32">
                    <c:v>9月</c:v>
                  </c:pt>
                  <c:pt idx="33">
                    <c:v>10月</c:v>
                  </c:pt>
                  <c:pt idx="34">
                    <c:v>11月</c:v>
                  </c:pt>
                  <c:pt idx="35">
                    <c:v>12月</c:v>
                  </c:pt>
                  <c:pt idx="36">
                    <c:v>1月</c:v>
                  </c:pt>
                  <c:pt idx="37">
                    <c:v>2月</c:v>
                  </c:pt>
                  <c:pt idx="38">
                    <c:v>3月</c:v>
                  </c:pt>
                  <c:pt idx="39">
                    <c:v>4月</c:v>
                  </c:pt>
                  <c:pt idx="40">
                    <c:v>5月</c:v>
                  </c:pt>
                  <c:pt idx="41">
                    <c:v>6月</c:v>
                  </c:pt>
                  <c:pt idx="42">
                    <c:v>7月</c:v>
                  </c:pt>
                  <c:pt idx="43">
                    <c:v>8月</c:v>
                  </c:pt>
                </c:lvl>
                <c:lvl>
                  <c:pt idx="0">
                    <c:v>2019</c:v>
                  </c:pt>
                  <c:pt idx="12">
                    <c:v>2020</c:v>
                  </c:pt>
                  <c:pt idx="24">
                    <c:v>2021</c:v>
                  </c:pt>
                  <c:pt idx="36">
                    <c:v>2022</c:v>
                  </c:pt>
                </c:lvl>
              </c:multiLvlStrCache>
            </c:multiLvlStrRef>
          </c:cat>
          <c:val>
            <c:numRef>
              <c:f>TotalSales!$C$5:$C$52</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CAB-4C72-86CE-4096D1D06717}"/>
            </c:ext>
          </c:extLst>
        </c:ser>
        <c:ser>
          <c:idx val="1"/>
          <c:order val="1"/>
          <c:tx>
            <c:strRef>
              <c:f>TotalSales!$D$3:$D$4</c:f>
              <c:strCache>
                <c:ptCount val="1"/>
                <c:pt idx="0">
                  <c:v>Exc</c:v>
                </c:pt>
              </c:strCache>
            </c:strRef>
          </c:tx>
          <c:spPr>
            <a:ln w="28575" cap="rnd">
              <a:solidFill>
                <a:srgbClr val="833C0B"/>
              </a:solidFill>
              <a:round/>
            </a:ln>
            <a:effectLst/>
          </c:spPr>
          <c:marker>
            <c:symbol val="none"/>
          </c:marker>
          <c:cat>
            <c:multiLvlStrRef>
              <c:f>TotalSales!$A$5:$B$52</c:f>
              <c:multiLvlStrCache>
                <c:ptCount val="4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pt idx="24">
                    <c:v>1月</c:v>
                  </c:pt>
                  <c:pt idx="25">
                    <c:v>2月</c:v>
                  </c:pt>
                  <c:pt idx="26">
                    <c:v>3月</c:v>
                  </c:pt>
                  <c:pt idx="27">
                    <c:v>4月</c:v>
                  </c:pt>
                  <c:pt idx="28">
                    <c:v>5月</c:v>
                  </c:pt>
                  <c:pt idx="29">
                    <c:v>6月</c:v>
                  </c:pt>
                  <c:pt idx="30">
                    <c:v>7月</c:v>
                  </c:pt>
                  <c:pt idx="31">
                    <c:v>8月</c:v>
                  </c:pt>
                  <c:pt idx="32">
                    <c:v>9月</c:v>
                  </c:pt>
                  <c:pt idx="33">
                    <c:v>10月</c:v>
                  </c:pt>
                  <c:pt idx="34">
                    <c:v>11月</c:v>
                  </c:pt>
                  <c:pt idx="35">
                    <c:v>12月</c:v>
                  </c:pt>
                  <c:pt idx="36">
                    <c:v>1月</c:v>
                  </c:pt>
                  <c:pt idx="37">
                    <c:v>2月</c:v>
                  </c:pt>
                  <c:pt idx="38">
                    <c:v>3月</c:v>
                  </c:pt>
                  <c:pt idx="39">
                    <c:v>4月</c:v>
                  </c:pt>
                  <c:pt idx="40">
                    <c:v>5月</c:v>
                  </c:pt>
                  <c:pt idx="41">
                    <c:v>6月</c:v>
                  </c:pt>
                  <c:pt idx="42">
                    <c:v>7月</c:v>
                  </c:pt>
                  <c:pt idx="43">
                    <c:v>8月</c:v>
                  </c:pt>
                </c:lvl>
                <c:lvl>
                  <c:pt idx="0">
                    <c:v>2019</c:v>
                  </c:pt>
                  <c:pt idx="12">
                    <c:v>2020</c:v>
                  </c:pt>
                  <c:pt idx="24">
                    <c:v>2021</c:v>
                  </c:pt>
                  <c:pt idx="36">
                    <c:v>2022</c:v>
                  </c:pt>
                </c:lvl>
              </c:multiLvlStrCache>
            </c:multiLvlStrRef>
          </c:cat>
          <c:val>
            <c:numRef>
              <c:f>TotalSales!$D$5:$D$52</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CAB-4C72-86CE-4096D1D06717}"/>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TotalSales!$A$5:$B$52</c:f>
              <c:multiLvlStrCache>
                <c:ptCount val="4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pt idx="24">
                    <c:v>1月</c:v>
                  </c:pt>
                  <c:pt idx="25">
                    <c:v>2月</c:v>
                  </c:pt>
                  <c:pt idx="26">
                    <c:v>3月</c:v>
                  </c:pt>
                  <c:pt idx="27">
                    <c:v>4月</c:v>
                  </c:pt>
                  <c:pt idx="28">
                    <c:v>5月</c:v>
                  </c:pt>
                  <c:pt idx="29">
                    <c:v>6月</c:v>
                  </c:pt>
                  <c:pt idx="30">
                    <c:v>7月</c:v>
                  </c:pt>
                  <c:pt idx="31">
                    <c:v>8月</c:v>
                  </c:pt>
                  <c:pt idx="32">
                    <c:v>9月</c:v>
                  </c:pt>
                  <c:pt idx="33">
                    <c:v>10月</c:v>
                  </c:pt>
                  <c:pt idx="34">
                    <c:v>11月</c:v>
                  </c:pt>
                  <c:pt idx="35">
                    <c:v>12月</c:v>
                  </c:pt>
                  <c:pt idx="36">
                    <c:v>1月</c:v>
                  </c:pt>
                  <c:pt idx="37">
                    <c:v>2月</c:v>
                  </c:pt>
                  <c:pt idx="38">
                    <c:v>3月</c:v>
                  </c:pt>
                  <c:pt idx="39">
                    <c:v>4月</c:v>
                  </c:pt>
                  <c:pt idx="40">
                    <c:v>5月</c:v>
                  </c:pt>
                  <c:pt idx="41">
                    <c:v>6月</c:v>
                  </c:pt>
                  <c:pt idx="42">
                    <c:v>7月</c:v>
                  </c:pt>
                  <c:pt idx="43">
                    <c:v>8月</c:v>
                  </c:pt>
                </c:lvl>
                <c:lvl>
                  <c:pt idx="0">
                    <c:v>2019</c:v>
                  </c:pt>
                  <c:pt idx="12">
                    <c:v>2020</c:v>
                  </c:pt>
                  <c:pt idx="24">
                    <c:v>2021</c:v>
                  </c:pt>
                  <c:pt idx="36">
                    <c:v>2022</c:v>
                  </c:pt>
                </c:lvl>
              </c:multiLvlStrCache>
            </c:multiLvlStrRef>
          </c:cat>
          <c:val>
            <c:numRef>
              <c:f>TotalSales!$E$5:$E$52</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CAB-4C72-86CE-4096D1D06717}"/>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TotalSales!$A$5:$B$52</c:f>
              <c:multiLvlStrCache>
                <c:ptCount val="4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pt idx="24">
                    <c:v>1月</c:v>
                  </c:pt>
                  <c:pt idx="25">
                    <c:v>2月</c:v>
                  </c:pt>
                  <c:pt idx="26">
                    <c:v>3月</c:v>
                  </c:pt>
                  <c:pt idx="27">
                    <c:v>4月</c:v>
                  </c:pt>
                  <c:pt idx="28">
                    <c:v>5月</c:v>
                  </c:pt>
                  <c:pt idx="29">
                    <c:v>6月</c:v>
                  </c:pt>
                  <c:pt idx="30">
                    <c:v>7月</c:v>
                  </c:pt>
                  <c:pt idx="31">
                    <c:v>8月</c:v>
                  </c:pt>
                  <c:pt idx="32">
                    <c:v>9月</c:v>
                  </c:pt>
                  <c:pt idx="33">
                    <c:v>10月</c:v>
                  </c:pt>
                  <c:pt idx="34">
                    <c:v>11月</c:v>
                  </c:pt>
                  <c:pt idx="35">
                    <c:v>12月</c:v>
                  </c:pt>
                  <c:pt idx="36">
                    <c:v>1月</c:v>
                  </c:pt>
                  <c:pt idx="37">
                    <c:v>2月</c:v>
                  </c:pt>
                  <c:pt idx="38">
                    <c:v>3月</c:v>
                  </c:pt>
                  <c:pt idx="39">
                    <c:v>4月</c:v>
                  </c:pt>
                  <c:pt idx="40">
                    <c:v>5月</c:v>
                  </c:pt>
                  <c:pt idx="41">
                    <c:v>6月</c:v>
                  </c:pt>
                  <c:pt idx="42">
                    <c:v>7月</c:v>
                  </c:pt>
                  <c:pt idx="43">
                    <c:v>8月</c:v>
                  </c:pt>
                </c:lvl>
                <c:lvl>
                  <c:pt idx="0">
                    <c:v>2019</c:v>
                  </c:pt>
                  <c:pt idx="12">
                    <c:v>2020</c:v>
                  </c:pt>
                  <c:pt idx="24">
                    <c:v>2021</c:v>
                  </c:pt>
                  <c:pt idx="36">
                    <c:v>2022</c:v>
                  </c:pt>
                </c:lvl>
              </c:multiLvlStrCache>
            </c:multiLvlStrRef>
          </c:cat>
          <c:val>
            <c:numRef>
              <c:f>TotalSales!$F$5:$F$52</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CAB-4C72-86CE-4096D1D06717}"/>
            </c:ext>
          </c:extLst>
        </c:ser>
        <c:dLbls>
          <c:showLegendKey val="0"/>
          <c:showVal val="0"/>
          <c:showCatName val="0"/>
          <c:showSerName val="0"/>
          <c:showPercent val="0"/>
          <c:showBubbleSize val="0"/>
        </c:dLbls>
        <c:smooth val="0"/>
        <c:axId val="1063243184"/>
        <c:axId val="875833680"/>
      </c:lineChart>
      <c:catAx>
        <c:axId val="106324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33680"/>
        <c:crosses val="autoZero"/>
        <c:auto val="1"/>
        <c:lblAlgn val="ctr"/>
        <c:lblOffset val="100"/>
        <c:noMultiLvlLbl val="0"/>
      </c:catAx>
      <c:valAx>
        <c:axId val="875833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4318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9D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A46"/>
          </a:solidFill>
          <a:ln w="25400">
            <a:solidFill>
              <a:schemeClr val="bg1"/>
            </a:solidFill>
          </a:ln>
          <a:effectLst/>
        </c:spPr>
      </c:pivotFmt>
      <c:pivotFmt>
        <c:idx val="2"/>
        <c:spPr>
          <a:solidFill>
            <a:srgbClr val="00E668"/>
          </a:solidFill>
          <a:ln w="25400">
            <a:solidFill>
              <a:schemeClr val="bg1"/>
            </a:solidFill>
          </a:ln>
          <a:effectLst/>
        </c:spPr>
      </c:pivotFmt>
      <c:pivotFmt>
        <c:idx val="3"/>
        <c:spPr>
          <a:solidFill>
            <a:srgbClr val="8FFFC2"/>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FFFC2"/>
          </a:solidFill>
          <a:ln w="25400">
            <a:solidFill>
              <a:schemeClr val="bg1"/>
            </a:solidFill>
          </a:ln>
          <a:effectLst/>
        </c:spPr>
      </c:pivotFmt>
      <c:pivotFmt>
        <c:idx val="6"/>
        <c:spPr>
          <a:solidFill>
            <a:srgbClr val="00E668"/>
          </a:solidFill>
          <a:ln w="25400">
            <a:solidFill>
              <a:schemeClr val="bg1"/>
            </a:solidFill>
          </a:ln>
          <a:effectLst/>
        </c:spPr>
      </c:pivotFmt>
      <c:pivotFmt>
        <c:idx val="7"/>
        <c:spPr>
          <a:solidFill>
            <a:srgbClr val="009A46"/>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FFFC2"/>
          </a:solidFill>
          <a:ln w="25400">
            <a:solidFill>
              <a:schemeClr val="bg1"/>
            </a:solidFill>
          </a:ln>
          <a:effectLst/>
        </c:spPr>
      </c:pivotFmt>
      <c:pivotFmt>
        <c:idx val="10"/>
        <c:spPr>
          <a:solidFill>
            <a:srgbClr val="00E668"/>
          </a:solidFill>
          <a:ln w="25400">
            <a:solidFill>
              <a:schemeClr val="bg1"/>
            </a:solidFill>
          </a:ln>
          <a:effectLst/>
        </c:spPr>
      </c:pivotFmt>
      <c:pivotFmt>
        <c:idx val="11"/>
        <c:spPr>
          <a:solidFill>
            <a:srgbClr val="009A46"/>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FFFC2"/>
              </a:solidFill>
              <a:ln w="25400">
                <a:solidFill>
                  <a:schemeClr val="bg1"/>
                </a:solidFill>
              </a:ln>
              <a:effectLst/>
            </c:spPr>
            <c:extLst>
              <c:ext xmlns:c16="http://schemas.microsoft.com/office/drawing/2014/chart" uri="{C3380CC4-5D6E-409C-BE32-E72D297353CC}">
                <c16:uniqueId val="{00000001-EFC7-468E-A7FB-5F216062AF8B}"/>
              </c:ext>
            </c:extLst>
          </c:dPt>
          <c:dPt>
            <c:idx val="1"/>
            <c:invertIfNegative val="0"/>
            <c:bubble3D val="0"/>
            <c:spPr>
              <a:solidFill>
                <a:srgbClr val="00E668"/>
              </a:solidFill>
              <a:ln w="25400">
                <a:solidFill>
                  <a:schemeClr val="bg1"/>
                </a:solidFill>
              </a:ln>
              <a:effectLst/>
            </c:spPr>
            <c:extLst>
              <c:ext xmlns:c16="http://schemas.microsoft.com/office/drawing/2014/chart" uri="{C3380CC4-5D6E-409C-BE32-E72D297353CC}">
                <c16:uniqueId val="{00000003-EFC7-468E-A7FB-5F216062AF8B}"/>
              </c:ext>
            </c:extLst>
          </c:dPt>
          <c:dPt>
            <c:idx val="2"/>
            <c:invertIfNegative val="0"/>
            <c:bubble3D val="0"/>
            <c:spPr>
              <a:solidFill>
                <a:srgbClr val="009A46"/>
              </a:solidFill>
              <a:ln w="25400">
                <a:solidFill>
                  <a:schemeClr val="bg1"/>
                </a:solidFill>
              </a:ln>
              <a:effectLst/>
            </c:spPr>
            <c:extLst>
              <c:ext xmlns:c16="http://schemas.microsoft.com/office/drawing/2014/chart" uri="{C3380CC4-5D6E-409C-BE32-E72D297353CC}">
                <c16:uniqueId val="{00000005-EFC7-468E-A7FB-5F216062AF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FC7-468E-A7FB-5F216062AF8B}"/>
            </c:ext>
          </c:extLst>
        </c:ser>
        <c:dLbls>
          <c:dLblPos val="outEnd"/>
          <c:showLegendKey val="0"/>
          <c:showVal val="1"/>
          <c:showCatName val="0"/>
          <c:showSerName val="0"/>
          <c:showPercent val="0"/>
          <c:showBubbleSize val="0"/>
        </c:dLbls>
        <c:gapWidth val="182"/>
        <c:axId val="1257866528"/>
        <c:axId val="875821680"/>
      </c:barChart>
      <c:catAx>
        <c:axId val="125786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875821680"/>
        <c:crosses val="autoZero"/>
        <c:auto val="1"/>
        <c:lblAlgn val="ctr"/>
        <c:lblOffset val="100"/>
        <c:noMultiLvlLbl val="0"/>
      </c:catAx>
      <c:valAx>
        <c:axId val="875821680"/>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57866528"/>
        <c:crosses val="autoZero"/>
        <c:crossBetween val="between"/>
      </c:valAx>
      <c:spPr>
        <a:solidFill>
          <a:srgbClr val="C49DE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9DEB"/>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7"/>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A46"/>
          </a:solidFill>
          <a:ln w="25400">
            <a:solidFill>
              <a:schemeClr val="bg1"/>
            </a:solidFill>
          </a:ln>
          <a:effectLst/>
        </c:spPr>
      </c:pivotFmt>
      <c:pivotFmt>
        <c:idx val="2"/>
        <c:spPr>
          <a:solidFill>
            <a:srgbClr val="00E668"/>
          </a:solidFill>
          <a:ln w="25400">
            <a:solidFill>
              <a:schemeClr val="bg1"/>
            </a:solidFill>
          </a:ln>
          <a:effectLst/>
        </c:spPr>
      </c:pivotFmt>
      <c:pivotFmt>
        <c:idx val="3"/>
        <c:spPr>
          <a:solidFill>
            <a:srgbClr val="8FFFC2"/>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FFFC2"/>
          </a:solidFill>
          <a:ln w="25400">
            <a:solidFill>
              <a:schemeClr val="bg1"/>
            </a:solidFill>
          </a:ln>
          <a:effectLst/>
        </c:spPr>
      </c:pivotFmt>
      <c:pivotFmt>
        <c:idx val="6"/>
        <c:spPr>
          <a:solidFill>
            <a:srgbClr val="00E668"/>
          </a:solidFill>
          <a:ln w="25400">
            <a:solidFill>
              <a:schemeClr val="bg1"/>
            </a:solidFill>
          </a:ln>
          <a:effectLst/>
        </c:spPr>
      </c:pivotFmt>
      <c:pivotFmt>
        <c:idx val="7"/>
        <c:spPr>
          <a:solidFill>
            <a:srgbClr val="009A46"/>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CAFA-4CA8-B1BD-84A80C0F32B5}"/>
              </c:ext>
            </c:extLst>
          </c:dPt>
          <c:dPt>
            <c:idx val="1"/>
            <c:invertIfNegative val="0"/>
            <c:bubble3D val="0"/>
            <c:extLst>
              <c:ext xmlns:c16="http://schemas.microsoft.com/office/drawing/2014/chart" uri="{C3380CC4-5D6E-409C-BE32-E72D297353CC}">
                <c16:uniqueId val="{00000001-CAFA-4CA8-B1BD-84A80C0F32B5}"/>
              </c:ext>
            </c:extLst>
          </c:dPt>
          <c:dPt>
            <c:idx val="2"/>
            <c:invertIfNegative val="0"/>
            <c:bubble3D val="0"/>
            <c:extLst>
              <c:ext xmlns:c16="http://schemas.microsoft.com/office/drawing/2014/chart" uri="{C3380CC4-5D6E-409C-BE32-E72D297353CC}">
                <c16:uniqueId val="{00000002-CAFA-4CA8-B1BD-84A80C0F3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AFA-4CA8-B1BD-84A80C0F32B5}"/>
            </c:ext>
          </c:extLst>
        </c:ser>
        <c:dLbls>
          <c:dLblPos val="outEnd"/>
          <c:showLegendKey val="0"/>
          <c:showVal val="1"/>
          <c:showCatName val="0"/>
          <c:showSerName val="0"/>
          <c:showPercent val="0"/>
          <c:showBubbleSize val="0"/>
        </c:dLbls>
        <c:gapWidth val="182"/>
        <c:axId val="1257866528"/>
        <c:axId val="875821680"/>
      </c:barChart>
      <c:catAx>
        <c:axId val="125786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875821680"/>
        <c:crosses val="autoZero"/>
        <c:auto val="1"/>
        <c:lblAlgn val="ctr"/>
        <c:lblOffset val="100"/>
        <c:noMultiLvlLbl val="0"/>
      </c:catAx>
      <c:valAx>
        <c:axId val="875821680"/>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57866528"/>
        <c:crosses val="autoZero"/>
        <c:crossBetween val="between"/>
      </c:valAx>
      <c:spPr>
        <a:solidFill>
          <a:srgbClr val="C49DE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9DEB"/>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8" name="Rectangle 7">
          <a:extLst>
            <a:ext uri="{FF2B5EF4-FFF2-40B4-BE49-F238E27FC236}">
              <a16:creationId xmlns:a16="http://schemas.microsoft.com/office/drawing/2014/main" id="{D753B43D-CF91-8732-A66E-F7E735CB894B}"/>
            </a:ext>
          </a:extLst>
        </xdr:cNvPr>
        <xdr:cNvSpPr/>
      </xdr:nvSpPr>
      <xdr:spPr>
        <a:xfrm>
          <a:off x="114300" y="66676"/>
          <a:ext cx="16192500" cy="723900"/>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bg1"/>
              </a:solidFill>
            </a:rPr>
            <a:t>COFFEE SALES DASHBOARD</a:t>
          </a:r>
        </a:p>
      </xdr:txBody>
    </xdr:sp>
    <xdr:clientData/>
  </xdr:twoCellAnchor>
  <xdr:twoCellAnchor>
    <xdr:from>
      <xdr:col>1</xdr:col>
      <xdr:colOff>0</xdr:colOff>
      <xdr:row>18</xdr:row>
      <xdr:rowOff>0</xdr:rowOff>
    </xdr:from>
    <xdr:to>
      <xdr:col>15</xdr:col>
      <xdr:colOff>0</xdr:colOff>
      <xdr:row>50</xdr:row>
      <xdr:rowOff>0</xdr:rowOff>
    </xdr:to>
    <xdr:graphicFrame macro="">
      <xdr:nvGraphicFramePr>
        <xdr:cNvPr id="9" name="Chart 8">
          <a:extLst>
            <a:ext uri="{FF2B5EF4-FFF2-40B4-BE49-F238E27FC236}">
              <a16:creationId xmlns:a16="http://schemas.microsoft.com/office/drawing/2014/main" id="{1EAF398F-F2FD-4E1B-B1E1-C729CC656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552450</xdr:colOff>
      <xdr:row>16</xdr:row>
      <xdr:rowOff>160565</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D3F08F1C-1CA7-4257-B1F8-A5FFCB7AB63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5661" y="857250"/>
              <a:ext cx="11009539" cy="18750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18197</xdr:colOff>
      <xdr:row>10</xdr:row>
      <xdr:rowOff>60213</xdr:rowOff>
    </xdr:from>
    <xdr:to>
      <xdr:col>22</xdr:col>
      <xdr:colOff>295275</xdr:colOff>
      <xdr:row>17</xdr:row>
      <xdr:rowOff>17690</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80BEB6CC-9190-4671-85A5-29702768178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237287" y="1652249"/>
              <a:ext cx="2216095" cy="1120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13605</xdr:colOff>
      <xdr:row>5</xdr:row>
      <xdr:rowOff>176893</xdr:rowOff>
    </xdr:from>
    <xdr:to>
      <xdr:col>26</xdr:col>
      <xdr:colOff>0</xdr:colOff>
      <xdr:row>10</xdr:row>
      <xdr:rowOff>1362</xdr:rowOff>
    </xdr:to>
    <mc:AlternateContent xmlns:mc="http://schemas.openxmlformats.org/markup-compatibility/2006">
      <mc:Choice xmlns:a14="http://schemas.microsoft.com/office/drawing/2010/main" Requires="a14">
        <xdr:graphicFrame macro="">
          <xdr:nvGraphicFramePr>
            <xdr:cNvPr id="12" name="Roast Type Name">
              <a:extLst>
                <a:ext uri="{FF2B5EF4-FFF2-40B4-BE49-F238E27FC236}">
                  <a16:creationId xmlns:a16="http://schemas.microsoft.com/office/drawing/2014/main" id="{774F5CDE-847B-4AF8-A8B0-D7249DF2213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232695" y="858612"/>
              <a:ext cx="4510769" cy="734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400050</xdr:colOff>
      <xdr:row>11</xdr:row>
      <xdr:rowOff>8507</xdr:rowOff>
    </xdr:from>
    <xdr:to>
      <xdr:col>26</xdr:col>
      <xdr:colOff>0</xdr:colOff>
      <xdr:row>17</xdr:row>
      <xdr:rowOff>1</xdr:rowOff>
    </xdr:to>
    <mc:AlternateContent xmlns:mc="http://schemas.openxmlformats.org/markup-compatibility/2006">
      <mc:Choice xmlns:a14="http://schemas.microsoft.com/office/drawing/2010/main" Requires="a14">
        <xdr:graphicFrame macro="">
          <xdr:nvGraphicFramePr>
            <xdr:cNvPr id="13" name="Loyalty Card">
              <a:extLst>
                <a:ext uri="{FF2B5EF4-FFF2-40B4-BE49-F238E27FC236}">
                  <a16:creationId xmlns:a16="http://schemas.microsoft.com/office/drawing/2014/main" id="{4F0E4DF7-060A-4F00-BFCB-3BA5C5B42A1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558157" y="1661776"/>
              <a:ext cx="2185307" cy="1093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35</xdr:row>
      <xdr:rowOff>0</xdr:rowOff>
    </xdr:from>
    <xdr:to>
      <xdr:col>26</xdr:col>
      <xdr:colOff>0</xdr:colOff>
      <xdr:row>50</xdr:row>
      <xdr:rowOff>0</xdr:rowOff>
    </xdr:to>
    <xdr:graphicFrame macro="">
      <xdr:nvGraphicFramePr>
        <xdr:cNvPr id="14" name="Chart 13">
          <a:extLst>
            <a:ext uri="{FF2B5EF4-FFF2-40B4-BE49-F238E27FC236}">
              <a16:creationId xmlns:a16="http://schemas.microsoft.com/office/drawing/2014/main" id="{785EBC93-5986-4557-BF64-2B1F2CF5D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17</xdr:row>
      <xdr:rowOff>148828</xdr:rowOff>
    </xdr:from>
    <xdr:to>
      <xdr:col>26</xdr:col>
      <xdr:colOff>1</xdr:colOff>
      <xdr:row>34</xdr:row>
      <xdr:rowOff>0</xdr:rowOff>
    </xdr:to>
    <xdr:graphicFrame macro="">
      <xdr:nvGraphicFramePr>
        <xdr:cNvPr id="15" name="Chart 14">
          <a:extLst>
            <a:ext uri="{FF2B5EF4-FFF2-40B4-BE49-F238E27FC236}">
              <a16:creationId xmlns:a16="http://schemas.microsoft.com/office/drawing/2014/main" id="{980CC4D4-B242-4860-8B87-D084696FA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kun hao" refreshedDate="46308.845406828703" createdVersion="8" refreshedVersion="8" minRefreshableVersion="3" recordCount="1000" xr:uid="{2A012D42-3348-4B3C-B7E9-C6827E07D1B2}">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1/2"/>
          <s v="1月"/>
          <s v="2月"/>
          <s v="3月"/>
          <s v="4月"/>
          <s v="5月"/>
          <s v="6月"/>
          <s v="7月"/>
          <s v="8月"/>
          <s v="9月"/>
          <s v="10月"/>
          <s v="11月"/>
          <s v="12月"/>
          <s v="&gt;2022/8/20"/>
        </groupItems>
      </fieldGroup>
    </cacheField>
    <cacheField name="Years (Order Date)" numFmtId="0" databaseField="0">
      <fieldGroup base="1">
        <rangePr groupBy="years" startDate="2019-01-02T00:00:00" endDate="2022-08-20T00:00:00"/>
        <groupItems count="6">
          <s v="&lt;2019/1/2"/>
          <s v="2019"/>
          <s v="2020"/>
          <s v="2021"/>
          <s v="2022"/>
          <s v="&gt;2022/8/20"/>
        </groupItems>
      </fieldGroup>
    </cacheField>
  </cacheFields>
  <extLst>
    <ext xmlns:x14="http://schemas.microsoft.com/office/spreadsheetml/2009/9/main" uri="{725AE2AE-9491-48be-B2B4-4EB974FC3084}">
      <x14:pivotCacheDefinition pivotCacheId="202543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C365C5-40E1-4543-86B8-3DBA22603894}"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5">
  <location ref="A3:F52" firstHeaderRow="1" firstDataRow="2" firstDataCol="2"/>
  <pivotFields count="18">
    <pivotField compact="0" showAll="0" defaultSubtotal="0"/>
    <pivotField compact="0" numFmtId="167"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axis="axisCol" compact="0" showAll="0" defaultSubtotal="0">
      <items count="4">
        <item x="2"/>
        <item x="1"/>
        <item x="3"/>
        <item x="0"/>
      </items>
    </pivotField>
    <pivotField compact="0" showAll="0" defaultSubtotal="0"/>
    <pivotField compact="0" numFmtId="168" showAll="0" defaultSubtotal="0">
      <items count="4">
        <item x="3"/>
        <item x="1"/>
        <item x="0"/>
        <item x="2"/>
      </items>
    </pivotField>
    <pivotField compact="0" numFmtId="169" showAll="0" defaultSubtotal="0"/>
    <pivotField dataField="1" compact="0" numFmtId="169" showAll="0" defaultSubtotal="0"/>
    <pivotField compact="0" showAll="0" defaultSubtotal="0"/>
    <pivotField compact="0" showAll="0" defaultSubtotal="0">
      <items count="3">
        <item x="2"/>
        <item x="1"/>
        <item x="0"/>
      </items>
    </pivotField>
    <pivotField compact="0" subtotalTop="0" showAll="0" defaultSubtotal="0">
      <items count="2">
        <item x="1"/>
        <item x="0"/>
      </items>
    </pivotField>
    <pivotField axis="axisRow" compact="0" numFmtId="173" showAll="0" defaultSubtotal="0">
      <items count="14">
        <item x="0"/>
        <item x="1"/>
        <item x="2"/>
        <item x="3"/>
        <item x="4"/>
        <item x="5"/>
        <item x="6"/>
        <item x="7"/>
        <item x="8"/>
        <item x="9"/>
        <item x="10"/>
        <item x="11"/>
        <item x="12"/>
        <item x="13"/>
      </items>
    </pivotField>
    <pivotField axis="axisRow" compact="0" showAll="0" defaultSubtotal="0">
      <items count="6">
        <item x="0"/>
        <item x="1"/>
        <item x="2"/>
        <item x="3"/>
        <item x="4"/>
        <item x="5"/>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8"/>
  </colFields>
  <colItems count="4">
    <i>
      <x/>
    </i>
    <i>
      <x v="1"/>
    </i>
    <i>
      <x v="2"/>
    </i>
    <i>
      <x v="3"/>
    </i>
  </colItems>
  <dataFields count="1">
    <dataField name="Sum of Sales" fld="12" baseField="16" baseItem="1" numFmtId="172"/>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4" format="8" series="1">
      <pivotArea type="data" outline="0" fieldPosition="0">
        <references count="2">
          <reference field="4294967294" count="1" selected="0">
            <x v="0"/>
          </reference>
          <reference field="8" count="1" selected="0">
            <x v="0"/>
          </reference>
        </references>
      </pivotArea>
    </chartFormat>
    <chartFormat chart="4" format="9" series="1">
      <pivotArea type="data" outline="0" fieldPosition="0">
        <references count="2">
          <reference field="4294967294" count="1" selected="0">
            <x v="0"/>
          </reference>
          <reference field="8" count="1" selected="0">
            <x v="1"/>
          </reference>
        </references>
      </pivotArea>
    </chartFormat>
    <chartFormat chart="4" format="10" series="1">
      <pivotArea type="data" outline="0" fieldPosition="0">
        <references count="2">
          <reference field="4294967294" count="1" selected="0">
            <x v="0"/>
          </reference>
          <reference field="8" count="1" selected="0">
            <x v="2"/>
          </reference>
        </references>
      </pivotArea>
    </chartFormat>
    <chartFormat chart="4"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6A70F9-61F3-4AA8-8F3B-D283957C98A8}"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7">
  <location ref="A3:B6" firstHeaderRow="1" firstDataRow="1" firstDataCol="1"/>
  <pivotFields count="18">
    <pivotField compact="0" showAll="0" defaultSubtotal="0"/>
    <pivotField compact="0" numFmtId="167"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items count="4">
        <item x="2"/>
        <item x="1"/>
        <item x="3"/>
        <item x="0"/>
      </items>
    </pivotField>
    <pivotField compact="0" showAll="0" defaultSubtotal="0"/>
    <pivotField compact="0" numFmtId="168" showAll="0" defaultSubtotal="0">
      <items count="4">
        <item x="3"/>
        <item x="1"/>
        <item x="0"/>
        <item x="2"/>
      </items>
    </pivotField>
    <pivotField compact="0" numFmtId="169" showAll="0" defaultSubtotal="0"/>
    <pivotField dataField="1" compact="0" numFmtId="169" showAll="0" defaultSubtotal="0"/>
    <pivotField compact="0" showAll="0" defaultSubtotal="0"/>
    <pivotField compact="0" showAll="0" defaultSubtotal="0">
      <items count="3">
        <item x="2"/>
        <item x="1"/>
        <item x="0"/>
      </items>
    </pivotField>
    <pivotField compact="0" subtotalTop="0" showAll="0" defaultSubtotal="0">
      <items count="2">
        <item x="1"/>
        <item x="0"/>
      </items>
    </pivotField>
    <pivotField compact="0" numFmtId="173"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4"/>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FB490-3934-4E5F-A0A4-3A2CE7550809}"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8">
  <location ref="A3:B8" firstHeaderRow="1" firstDataRow="1" firstDataCol="1"/>
  <pivotFields count="18">
    <pivotField compact="0" showAll="0" defaultSubtotal="0"/>
    <pivotField compact="0" numFmtId="167"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items count="4">
        <item x="2"/>
        <item x="1"/>
        <item x="3"/>
        <item x="0"/>
      </items>
    </pivotField>
    <pivotField compact="0" showAll="0" defaultSubtotal="0"/>
    <pivotField compact="0" numFmtId="168" showAll="0" defaultSubtotal="0">
      <items count="4">
        <item x="3"/>
        <item x="1"/>
        <item x="0"/>
        <item x="2"/>
      </items>
    </pivotField>
    <pivotField compact="0" numFmtId="169" showAll="0" defaultSubtotal="0"/>
    <pivotField dataField="1" compact="0" numFmtId="169" showAll="0" defaultSubtotal="0"/>
    <pivotField compact="0" showAll="0" defaultSubtotal="0"/>
    <pivotField compact="0" showAll="0" defaultSubtotal="0">
      <items count="3">
        <item x="2"/>
        <item x="1"/>
        <item x="0"/>
      </items>
    </pivotField>
    <pivotField compact="0" subtotalTop="0" showAll="0" defaultSubtotal="0">
      <items count="2">
        <item x="1"/>
        <item x="0"/>
      </items>
    </pivotField>
    <pivotField compact="0" numFmtId="173"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74"/>
  </dataFields>
  <chartFormats count="5">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CC23C06-7A3E-4EA0-8992-CA913459CC06}" sourceName="Size">
  <pivotTables>
    <pivotTable tabId="18" name="TotalSales"/>
    <pivotTable tabId="19" name="TotalSales"/>
    <pivotTable tabId="20" name="TotalSales"/>
  </pivotTables>
  <data>
    <tabular pivotCacheId="20254388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29792EE-25D0-4895-A003-DA2712976C74}" sourceName="Roast Type Name">
  <pivotTables>
    <pivotTable tabId="18" name="TotalSales"/>
    <pivotTable tabId="19" name="TotalSales"/>
    <pivotTable tabId="20" name="TotalSales"/>
  </pivotTables>
  <data>
    <tabular pivotCacheId="20254388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0DB99D7-AFDC-4EE8-A0AB-55632B48FBDA}" sourceName="Loyalty Card">
  <pivotTables>
    <pivotTable tabId="18" name="TotalSales"/>
    <pivotTable tabId="19" name="TotalSales"/>
    <pivotTable tabId="20" name="TotalSales"/>
  </pivotTables>
  <data>
    <tabular pivotCacheId="2025438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E2F4064-391B-49DA-9E17-E197930F767E}" cache="Slicer_Size" caption="Size" columnCount="2" style="Purple Slicer" rowHeight="241300"/>
  <slicer name="Roast Type Name" xr10:uid="{10729335-18E1-4841-B8AC-9B8505F812E1}" cache="Slicer_Roast_Type_Name" caption="Roast Type Name" columnCount="3" style="Purple Slicer" rowHeight="241300"/>
  <slicer name="Loyalty Card" xr10:uid="{6C59B713-1154-4191-B305-5199EE5B1AAC}"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DA159-CCD3-43E3-B27A-21FB55B9754B}" name="Orders" displayName="Orders" ref="A1:P1001" totalsRowShown="0" headerRowDxfId="5">
  <autoFilter ref="A1:P1001" xr:uid="{D64DA159-CCD3-43E3-B27A-21FB55B9754B}"/>
  <tableColumns count="16">
    <tableColumn id="1" xr3:uid="{D3233715-7311-4025-A6A3-4B95DC38E6A7}" name="Order ID" dataDxfId="15"/>
    <tableColumn id="2" xr3:uid="{BD1F23D8-36AB-4031-BCD3-D5145D3EF356}" name="Order Date" dataDxfId="14"/>
    <tableColumn id="3" xr3:uid="{1D21D975-16CD-4A8D-A08E-716C2EF1A517}" name="Customer ID" dataDxfId="13"/>
    <tableColumn id="4" xr3:uid="{CBC2E5F9-9EDA-4C0F-B391-435F4A01A48E}" name="Product ID"/>
    <tableColumn id="5" xr3:uid="{587C0609-CDCC-4B5E-92D0-E4E74823BDFE}" name="Quantity" dataDxfId="12"/>
    <tableColumn id="6" xr3:uid="{806D74AA-338E-4BE0-8181-F07C3B881239}" name="Customer Name" dataDxfId="11">
      <calculatedColumnFormula>_xlfn.XLOOKUP(C2,customers!$A$1:$A$1001,customers!$B$1:$B$1001,,0)</calculatedColumnFormula>
    </tableColumn>
    <tableColumn id="7" xr3:uid="{4CA8AA6D-120A-4597-BA8A-2E8D253B5472}" name="Email" dataDxfId="10">
      <calculatedColumnFormula>IF(_xlfn.XLOOKUP(C2,customers!$A$1:$A$1001,customers!$C$1:$C$1001,,0)=0,"",_xlfn.XLOOKUP(C2,customers!$A$1:$A$1001,customers!$C$1:$C$1001,,0))</calculatedColumnFormula>
    </tableColumn>
    <tableColumn id="8" xr3:uid="{4D6C2721-7558-45F5-84F3-3A4A8CD5C865}" name="Country" dataDxfId="9">
      <calculatedColumnFormula>_xlfn.XLOOKUP(orders!C2,customers!$A$1:$A$1001,customers!$G$1:$G$1001)</calculatedColumnFormula>
    </tableColumn>
    <tableColumn id="9" xr3:uid="{25B61B60-B46C-484F-98EE-A69F4B0BEECE}" name="Coffee Type">
      <calculatedColumnFormula>INDEX(products!$A$1:$G$49,MATCH(orders!$D2,products!$A$1:$A$49,0),MATCH(orders!I$1,products!$A$1:$G$1,0))</calculatedColumnFormula>
    </tableColumn>
    <tableColumn id="10" xr3:uid="{FEB0DB8A-5A9D-46B9-B3AB-D8AEB2B1E01F}" name="Roast Type">
      <calculatedColumnFormula>INDEX(products!$A$1:$G$49,MATCH(orders!$D2,products!$A$1:$A$49,0),MATCH(orders!J$1,products!$A$1:$G$1,0))</calculatedColumnFormula>
    </tableColumn>
    <tableColumn id="11" xr3:uid="{2B03431E-D4F4-4B56-96F5-FDABB74CD2DD}" name="Size" dataDxfId="8">
      <calculatedColumnFormula>INDEX(products!$A$1:$G$49,MATCH(orders!$D2,products!$A$1:$A$49,0),MATCH(orders!K$1,products!$A$1:$G$1,0))</calculatedColumnFormula>
    </tableColumn>
    <tableColumn id="12" xr3:uid="{810CCE3B-F912-43A9-9284-33F5880179C5}" name="Unit Price" dataDxfId="7">
      <calculatedColumnFormula>INDEX(products!$A$1:$G$49,MATCH(orders!$D2,products!$A$1:$A$49,0),MATCH(orders!L$1,products!$A$1:$G$1,0))</calculatedColumnFormula>
    </tableColumn>
    <tableColumn id="13" xr3:uid="{DBD06970-8B8C-4D63-B6AF-1F4C4C64BDB1}" name="Sales" dataDxfId="6">
      <calculatedColumnFormula>L2*E2</calculatedColumnFormula>
    </tableColumn>
    <tableColumn id="14" xr3:uid="{A1D19480-353E-4A48-8EF8-88471D97CE1A}" name="Coffe Type Name">
      <calculatedColumnFormula>IF(I2="Rob","Robusta",IF(I2="Exc", "Excelsa",IF(I2="Ara","Arabica",IF(I2="Lib","Liberica",""))))</calculatedColumnFormula>
    </tableColumn>
    <tableColumn id="15" xr3:uid="{B454F231-C7C5-4AF5-81FA-DA33BA4671F6}" name="Roast Type Name">
      <calculatedColumnFormula>IF(J2="M","Medium",IF(J2="L","Light",IF(J2="D","Dark","")))</calculatedColumnFormula>
    </tableColumn>
    <tableColumn id="16" xr3:uid="{1B8F9148-D4C9-4454-8E7B-94674403A222}"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2B2527B-CB66-49C4-A70E-7BE216CF2C26}" sourceName="Order Date">
  <pivotTables>
    <pivotTable tabId="18" name="TotalSales"/>
    <pivotTable tabId="19" name="TotalSales"/>
    <pivotTable tabId="20" name="TotalSales"/>
  </pivotTables>
  <state minimalRefreshVersion="6" lastRefreshVersion="6" pivotCacheId="20254388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6F3249F-9146-4DD0-9FF1-714DA5113B26}" cache="NativeTimeline_Order_Date" caption="Order Date" level="2" selectionLevel="2" scrollPosition="2020-06-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4D934-6511-4A95-821C-AA17F474D0B1}">
  <dimension ref="A3:F52"/>
  <sheetViews>
    <sheetView workbookViewId="0">
      <selection activeCell="C7" sqref="C7"/>
    </sheetView>
  </sheetViews>
  <sheetFormatPr defaultRowHeight="14.25" x14ac:dyDescent="0.45"/>
  <cols>
    <col min="1" max="1" width="12.06640625" bestFit="1" customWidth="1"/>
    <col min="2" max="2" width="20.06640625" bestFit="1" customWidth="1"/>
    <col min="3" max="3" width="12.59765625" bestFit="1" customWidth="1"/>
    <col min="4" max="6" width="4.19921875" bestFit="1" customWidth="1"/>
  </cols>
  <sheetData>
    <row r="3" spans="1:6" x14ac:dyDescent="0.45">
      <c r="A3" s="6" t="s">
        <v>6216</v>
      </c>
      <c r="C3" s="6" t="s">
        <v>9</v>
      </c>
    </row>
    <row r="4" spans="1:6" x14ac:dyDescent="0.45">
      <c r="A4" s="6" t="s">
        <v>6214</v>
      </c>
      <c r="B4" s="6" t="s">
        <v>6215</v>
      </c>
      <c r="C4" t="s">
        <v>6193</v>
      </c>
      <c r="D4" t="s">
        <v>6194</v>
      </c>
      <c r="E4" t="s">
        <v>6195</v>
      </c>
      <c r="F4" t="s">
        <v>6192</v>
      </c>
    </row>
    <row r="5" spans="1:6" x14ac:dyDescent="0.45">
      <c r="A5" t="s">
        <v>6198</v>
      </c>
      <c r="C5" s="7"/>
      <c r="D5" s="7"/>
      <c r="E5" s="7"/>
      <c r="F5" s="7"/>
    </row>
    <row r="6" spans="1:6" x14ac:dyDescent="0.45">
      <c r="B6" s="8" t="s">
        <v>6202</v>
      </c>
      <c r="C6" s="7">
        <v>186.85499999999999</v>
      </c>
      <c r="D6" s="7">
        <v>305.97000000000003</v>
      </c>
      <c r="E6" s="7">
        <v>213.15999999999997</v>
      </c>
      <c r="F6" s="7">
        <v>123</v>
      </c>
    </row>
    <row r="7" spans="1:6" x14ac:dyDescent="0.45">
      <c r="B7" s="8" t="s">
        <v>6203</v>
      </c>
      <c r="C7" s="7">
        <v>251.96499999999997</v>
      </c>
      <c r="D7" s="7">
        <v>129.46</v>
      </c>
      <c r="E7" s="7">
        <v>434.03999999999996</v>
      </c>
      <c r="F7" s="7">
        <v>171.93999999999997</v>
      </c>
    </row>
    <row r="8" spans="1:6" x14ac:dyDescent="0.45">
      <c r="B8" s="8" t="s">
        <v>6204</v>
      </c>
      <c r="C8" s="7">
        <v>224.94499999999999</v>
      </c>
      <c r="D8" s="7">
        <v>349.12</v>
      </c>
      <c r="E8" s="7">
        <v>321.04000000000002</v>
      </c>
      <c r="F8" s="7">
        <v>126.035</v>
      </c>
    </row>
    <row r="9" spans="1:6" x14ac:dyDescent="0.45">
      <c r="B9" s="8" t="s">
        <v>6205</v>
      </c>
      <c r="C9" s="7">
        <v>307.12</v>
      </c>
      <c r="D9" s="7">
        <v>681.07499999999993</v>
      </c>
      <c r="E9" s="7">
        <v>533.70499999999993</v>
      </c>
      <c r="F9" s="7">
        <v>158.85</v>
      </c>
    </row>
    <row r="10" spans="1:6" x14ac:dyDescent="0.45">
      <c r="B10" s="8" t="s">
        <v>6206</v>
      </c>
      <c r="C10" s="7">
        <v>53.664999999999992</v>
      </c>
      <c r="D10" s="7">
        <v>83.025000000000006</v>
      </c>
      <c r="E10" s="7">
        <v>193.83499999999998</v>
      </c>
      <c r="F10" s="7">
        <v>68.039999999999992</v>
      </c>
    </row>
    <row r="11" spans="1:6" x14ac:dyDescent="0.45">
      <c r="B11" s="8" t="s">
        <v>6207</v>
      </c>
      <c r="C11" s="7">
        <v>163.01999999999998</v>
      </c>
      <c r="D11" s="7">
        <v>678.3599999999999</v>
      </c>
      <c r="E11" s="7">
        <v>171.04500000000002</v>
      </c>
      <c r="F11" s="7">
        <v>372.255</v>
      </c>
    </row>
    <row r="12" spans="1:6" x14ac:dyDescent="0.45">
      <c r="B12" s="8" t="s">
        <v>6208</v>
      </c>
      <c r="C12" s="7">
        <v>345.02</v>
      </c>
      <c r="D12" s="7">
        <v>273.86999999999995</v>
      </c>
      <c r="E12" s="7">
        <v>184.12999999999997</v>
      </c>
      <c r="F12" s="7">
        <v>201.11499999999998</v>
      </c>
    </row>
    <row r="13" spans="1:6" x14ac:dyDescent="0.45">
      <c r="B13" s="8" t="s">
        <v>6209</v>
      </c>
      <c r="C13" s="7">
        <v>334.89</v>
      </c>
      <c r="D13" s="7">
        <v>70.95</v>
      </c>
      <c r="E13" s="7">
        <v>134.23000000000002</v>
      </c>
      <c r="F13" s="7">
        <v>166.27499999999998</v>
      </c>
    </row>
    <row r="14" spans="1:6" x14ac:dyDescent="0.45">
      <c r="B14" s="8" t="s">
        <v>6210</v>
      </c>
      <c r="C14" s="7">
        <v>178.70999999999998</v>
      </c>
      <c r="D14" s="7">
        <v>166.1</v>
      </c>
      <c r="E14" s="7">
        <v>439.30999999999995</v>
      </c>
      <c r="F14" s="7">
        <v>492.9</v>
      </c>
    </row>
    <row r="15" spans="1:6" x14ac:dyDescent="0.45">
      <c r="B15" s="8" t="s">
        <v>6211</v>
      </c>
      <c r="C15" s="7">
        <v>301.98500000000001</v>
      </c>
      <c r="D15" s="7">
        <v>153.76499999999999</v>
      </c>
      <c r="E15" s="7">
        <v>215.55499999999998</v>
      </c>
      <c r="F15" s="7">
        <v>213.66499999999999</v>
      </c>
    </row>
    <row r="16" spans="1:6" x14ac:dyDescent="0.45">
      <c r="B16" s="8" t="s">
        <v>6212</v>
      </c>
      <c r="C16" s="7">
        <v>312.83499999999998</v>
      </c>
      <c r="D16" s="7">
        <v>63.249999999999993</v>
      </c>
      <c r="E16" s="7">
        <v>350.89500000000004</v>
      </c>
      <c r="F16" s="7">
        <v>96.405000000000001</v>
      </c>
    </row>
    <row r="17" spans="1:6" x14ac:dyDescent="0.45">
      <c r="B17" s="8" t="s">
        <v>6213</v>
      </c>
      <c r="C17" s="7">
        <v>265.62</v>
      </c>
      <c r="D17" s="7">
        <v>526.51499999999987</v>
      </c>
      <c r="E17" s="7">
        <v>187.06</v>
      </c>
      <c r="F17" s="7">
        <v>210.58999999999997</v>
      </c>
    </row>
    <row r="18" spans="1:6" x14ac:dyDescent="0.45">
      <c r="A18" t="s">
        <v>6199</v>
      </c>
      <c r="C18" s="7"/>
      <c r="D18" s="7"/>
      <c r="E18" s="7"/>
      <c r="F18" s="7"/>
    </row>
    <row r="19" spans="1:6" x14ac:dyDescent="0.45">
      <c r="B19" s="8" t="s">
        <v>6202</v>
      </c>
      <c r="C19" s="7">
        <v>47.25</v>
      </c>
      <c r="D19" s="7">
        <v>65.805000000000007</v>
      </c>
      <c r="E19" s="7">
        <v>274.67500000000001</v>
      </c>
      <c r="F19" s="7">
        <v>179.22</v>
      </c>
    </row>
    <row r="20" spans="1:6" x14ac:dyDescent="0.45">
      <c r="B20" s="8" t="s">
        <v>6203</v>
      </c>
      <c r="C20" s="7">
        <v>745.44999999999993</v>
      </c>
      <c r="D20" s="7">
        <v>428.88499999999999</v>
      </c>
      <c r="E20" s="7">
        <v>194.17499999999998</v>
      </c>
      <c r="F20" s="7">
        <v>429.82999999999993</v>
      </c>
    </row>
    <row r="21" spans="1:6" x14ac:dyDescent="0.45">
      <c r="B21" s="8" t="s">
        <v>6204</v>
      </c>
      <c r="C21" s="7">
        <v>130.47</v>
      </c>
      <c r="D21" s="7">
        <v>271.48500000000001</v>
      </c>
      <c r="E21" s="7">
        <v>281.20499999999998</v>
      </c>
      <c r="F21" s="7">
        <v>231.63000000000002</v>
      </c>
    </row>
    <row r="22" spans="1:6" x14ac:dyDescent="0.45">
      <c r="B22" s="8" t="s">
        <v>6205</v>
      </c>
      <c r="C22" s="7">
        <v>27</v>
      </c>
      <c r="D22" s="7">
        <v>347.26</v>
      </c>
      <c r="E22" s="7">
        <v>147.51</v>
      </c>
      <c r="F22" s="7">
        <v>240.04</v>
      </c>
    </row>
    <row r="23" spans="1:6" x14ac:dyDescent="0.45">
      <c r="B23" s="8" t="s">
        <v>6206</v>
      </c>
      <c r="C23" s="7">
        <v>255.11499999999995</v>
      </c>
      <c r="D23" s="7">
        <v>541.73</v>
      </c>
      <c r="E23" s="7">
        <v>83.43</v>
      </c>
      <c r="F23" s="7">
        <v>59.079999999999991</v>
      </c>
    </row>
    <row r="24" spans="1:6" x14ac:dyDescent="0.45">
      <c r="B24" s="8" t="s">
        <v>6207</v>
      </c>
      <c r="C24" s="7">
        <v>584.78999999999985</v>
      </c>
      <c r="D24" s="7">
        <v>357.42999999999995</v>
      </c>
      <c r="E24" s="7">
        <v>355.34</v>
      </c>
      <c r="F24" s="7">
        <v>140.88</v>
      </c>
    </row>
    <row r="25" spans="1:6" x14ac:dyDescent="0.45">
      <c r="B25" s="8" t="s">
        <v>6208</v>
      </c>
      <c r="C25" s="7">
        <v>430.62</v>
      </c>
      <c r="D25" s="7">
        <v>227.42500000000001</v>
      </c>
      <c r="E25" s="7">
        <v>236.315</v>
      </c>
      <c r="F25" s="7">
        <v>414.58499999999992</v>
      </c>
    </row>
    <row r="26" spans="1:6" x14ac:dyDescent="0.45">
      <c r="B26" s="8" t="s">
        <v>6209</v>
      </c>
      <c r="C26" s="7">
        <v>22.5</v>
      </c>
      <c r="D26" s="7">
        <v>77.72</v>
      </c>
      <c r="E26" s="7">
        <v>60.5</v>
      </c>
      <c r="F26" s="7">
        <v>139.67999999999998</v>
      </c>
    </row>
    <row r="27" spans="1:6" x14ac:dyDescent="0.45">
      <c r="B27" s="8" t="s">
        <v>6210</v>
      </c>
      <c r="C27" s="7">
        <v>126.14999999999999</v>
      </c>
      <c r="D27" s="7">
        <v>195.11</v>
      </c>
      <c r="E27" s="7">
        <v>89.13</v>
      </c>
      <c r="F27" s="7">
        <v>302.65999999999997</v>
      </c>
    </row>
    <row r="28" spans="1:6" x14ac:dyDescent="0.45">
      <c r="B28" s="8" t="s">
        <v>6211</v>
      </c>
      <c r="C28" s="7">
        <v>376.03</v>
      </c>
      <c r="D28" s="7">
        <v>523.24</v>
      </c>
      <c r="E28" s="7">
        <v>440.96499999999997</v>
      </c>
      <c r="F28" s="7">
        <v>174.46999999999997</v>
      </c>
    </row>
    <row r="29" spans="1:6" x14ac:dyDescent="0.45">
      <c r="B29" s="8" t="s">
        <v>6212</v>
      </c>
      <c r="C29" s="7">
        <v>515.17999999999995</v>
      </c>
      <c r="D29" s="7">
        <v>142.56</v>
      </c>
      <c r="E29" s="7">
        <v>347.03999999999996</v>
      </c>
      <c r="F29" s="7">
        <v>104.08499999999999</v>
      </c>
    </row>
    <row r="30" spans="1:6" x14ac:dyDescent="0.45">
      <c r="B30" s="8" t="s">
        <v>6213</v>
      </c>
      <c r="C30" s="7">
        <v>95.859999999999985</v>
      </c>
      <c r="D30" s="7">
        <v>484.76</v>
      </c>
      <c r="E30" s="7">
        <v>94.17</v>
      </c>
      <c r="F30" s="7">
        <v>77.10499999999999</v>
      </c>
    </row>
    <row r="31" spans="1:6" x14ac:dyDescent="0.45">
      <c r="A31" t="s">
        <v>6200</v>
      </c>
      <c r="C31" s="7"/>
      <c r="D31" s="7"/>
      <c r="E31" s="7"/>
      <c r="F31" s="7"/>
    </row>
    <row r="32" spans="1:6" x14ac:dyDescent="0.45">
      <c r="B32" s="8" t="s">
        <v>6202</v>
      </c>
      <c r="C32" s="7">
        <v>258.34500000000003</v>
      </c>
      <c r="D32" s="7">
        <v>139.625</v>
      </c>
      <c r="E32" s="7">
        <v>279.52000000000004</v>
      </c>
      <c r="F32" s="7">
        <v>160.19499999999999</v>
      </c>
    </row>
    <row r="33" spans="1:6" x14ac:dyDescent="0.45">
      <c r="B33" s="8" t="s">
        <v>6203</v>
      </c>
      <c r="C33" s="7">
        <v>342.2</v>
      </c>
      <c r="D33" s="7">
        <v>284.24999999999994</v>
      </c>
      <c r="E33" s="7">
        <v>251.83</v>
      </c>
      <c r="F33" s="7">
        <v>80.550000000000011</v>
      </c>
    </row>
    <row r="34" spans="1:6" x14ac:dyDescent="0.45">
      <c r="B34" s="8" t="s">
        <v>6204</v>
      </c>
      <c r="C34" s="7">
        <v>418.30499999999989</v>
      </c>
      <c r="D34" s="7">
        <v>468.125</v>
      </c>
      <c r="E34" s="7">
        <v>405.05500000000006</v>
      </c>
      <c r="F34" s="7">
        <v>253.15499999999997</v>
      </c>
    </row>
    <row r="35" spans="1:6" x14ac:dyDescent="0.45">
      <c r="B35" s="8" t="s">
        <v>6205</v>
      </c>
      <c r="C35" s="7">
        <v>102.32999999999998</v>
      </c>
      <c r="D35" s="7">
        <v>242.14000000000001</v>
      </c>
      <c r="E35" s="7">
        <v>554.875</v>
      </c>
      <c r="F35" s="7">
        <v>106.23999999999998</v>
      </c>
    </row>
    <row r="36" spans="1:6" x14ac:dyDescent="0.45">
      <c r="B36" s="8" t="s">
        <v>6206</v>
      </c>
      <c r="C36" s="7">
        <v>234.71999999999997</v>
      </c>
      <c r="D36" s="7">
        <v>133.08000000000001</v>
      </c>
      <c r="E36" s="7">
        <v>267.2</v>
      </c>
      <c r="F36" s="7">
        <v>272.68999999999994</v>
      </c>
    </row>
    <row r="37" spans="1:6" x14ac:dyDescent="0.45">
      <c r="B37" s="8" t="s">
        <v>6207</v>
      </c>
      <c r="C37" s="7">
        <v>430.39</v>
      </c>
      <c r="D37" s="7">
        <v>136.20500000000001</v>
      </c>
      <c r="E37" s="7">
        <v>209.6</v>
      </c>
      <c r="F37" s="7">
        <v>88.334999999999994</v>
      </c>
    </row>
    <row r="38" spans="1:6" x14ac:dyDescent="0.45">
      <c r="B38" s="8" t="s">
        <v>6208</v>
      </c>
      <c r="C38" s="7">
        <v>109.005</v>
      </c>
      <c r="D38" s="7">
        <v>393.57499999999999</v>
      </c>
      <c r="E38" s="7">
        <v>61.034999999999997</v>
      </c>
      <c r="F38" s="7">
        <v>199.48999999999998</v>
      </c>
    </row>
    <row r="39" spans="1:6" x14ac:dyDescent="0.45">
      <c r="B39" s="8" t="s">
        <v>6209</v>
      </c>
      <c r="C39" s="7">
        <v>287.52499999999998</v>
      </c>
      <c r="D39" s="7">
        <v>288.67</v>
      </c>
      <c r="E39" s="7">
        <v>125.58</v>
      </c>
      <c r="F39" s="7">
        <v>374.13499999999999</v>
      </c>
    </row>
    <row r="40" spans="1:6" x14ac:dyDescent="0.45">
      <c r="B40" s="8" t="s">
        <v>6210</v>
      </c>
      <c r="C40" s="7">
        <v>840.92999999999984</v>
      </c>
      <c r="D40" s="7">
        <v>409.875</v>
      </c>
      <c r="E40" s="7">
        <v>171.32999999999998</v>
      </c>
      <c r="F40" s="7">
        <v>221.43999999999997</v>
      </c>
    </row>
    <row r="41" spans="1:6" x14ac:dyDescent="0.45">
      <c r="B41" s="8" t="s">
        <v>6211</v>
      </c>
      <c r="C41" s="7">
        <v>299.07</v>
      </c>
      <c r="D41" s="7">
        <v>260.32499999999999</v>
      </c>
      <c r="E41" s="7">
        <v>584.64</v>
      </c>
      <c r="F41" s="7">
        <v>256.36500000000001</v>
      </c>
    </row>
    <row r="42" spans="1:6" x14ac:dyDescent="0.45">
      <c r="B42" s="8" t="s">
        <v>6212</v>
      </c>
      <c r="C42" s="7">
        <v>323.32499999999999</v>
      </c>
      <c r="D42" s="7">
        <v>565.57000000000005</v>
      </c>
      <c r="E42" s="7">
        <v>537.80999999999995</v>
      </c>
      <c r="F42" s="7">
        <v>189.47499999999999</v>
      </c>
    </row>
    <row r="43" spans="1:6" x14ac:dyDescent="0.45">
      <c r="B43" s="8" t="s">
        <v>6213</v>
      </c>
      <c r="C43" s="7">
        <v>399.48499999999996</v>
      </c>
      <c r="D43" s="7">
        <v>148.19999999999999</v>
      </c>
      <c r="E43" s="7">
        <v>388.21999999999997</v>
      </c>
      <c r="F43" s="7">
        <v>212.07499999999999</v>
      </c>
    </row>
    <row r="44" spans="1:6" x14ac:dyDescent="0.45">
      <c r="A44" t="s">
        <v>6201</v>
      </c>
      <c r="C44" s="7"/>
      <c r="D44" s="7"/>
      <c r="E44" s="7"/>
      <c r="F44" s="7"/>
    </row>
    <row r="45" spans="1:6" x14ac:dyDescent="0.45">
      <c r="B45" s="8" t="s">
        <v>6202</v>
      </c>
      <c r="C45" s="7">
        <v>112.69499999999999</v>
      </c>
      <c r="D45" s="7">
        <v>166.32</v>
      </c>
      <c r="E45" s="7">
        <v>843.71499999999992</v>
      </c>
      <c r="F45" s="7">
        <v>146.685</v>
      </c>
    </row>
    <row r="46" spans="1:6" x14ac:dyDescent="0.45">
      <c r="B46" s="8" t="s">
        <v>6203</v>
      </c>
      <c r="C46" s="7">
        <v>114.87999999999998</v>
      </c>
      <c r="D46" s="7">
        <v>133.815</v>
      </c>
      <c r="E46" s="7">
        <v>91.175000000000011</v>
      </c>
      <c r="F46" s="7">
        <v>53.759999999999991</v>
      </c>
    </row>
    <row r="47" spans="1:6" x14ac:dyDescent="0.45">
      <c r="B47" s="8" t="s">
        <v>6204</v>
      </c>
      <c r="C47" s="7">
        <v>277.76</v>
      </c>
      <c r="D47" s="7">
        <v>175.41</v>
      </c>
      <c r="E47" s="7">
        <v>462.50999999999993</v>
      </c>
      <c r="F47" s="7">
        <v>399.52499999999998</v>
      </c>
    </row>
    <row r="48" spans="1:6" x14ac:dyDescent="0.45">
      <c r="B48" s="8" t="s">
        <v>6205</v>
      </c>
      <c r="C48" s="7">
        <v>197.89499999999998</v>
      </c>
      <c r="D48" s="7">
        <v>289.755</v>
      </c>
      <c r="E48" s="7">
        <v>88.545000000000002</v>
      </c>
      <c r="F48" s="7">
        <v>200.25499999999997</v>
      </c>
    </row>
    <row r="49" spans="2:6" x14ac:dyDescent="0.45">
      <c r="B49" s="8" t="s">
        <v>6206</v>
      </c>
      <c r="C49" s="7">
        <v>193.11499999999998</v>
      </c>
      <c r="D49" s="7">
        <v>212.49499999999998</v>
      </c>
      <c r="E49" s="7">
        <v>292.29000000000002</v>
      </c>
      <c r="F49" s="7">
        <v>304.46999999999997</v>
      </c>
    </row>
    <row r="50" spans="2:6" x14ac:dyDescent="0.45">
      <c r="B50" s="8" t="s">
        <v>6207</v>
      </c>
      <c r="C50" s="7">
        <v>179.79</v>
      </c>
      <c r="D50" s="7">
        <v>426.2</v>
      </c>
      <c r="E50" s="7">
        <v>170.08999999999997</v>
      </c>
      <c r="F50" s="7">
        <v>379.31</v>
      </c>
    </row>
    <row r="51" spans="2:6" x14ac:dyDescent="0.45">
      <c r="B51" s="8" t="s">
        <v>6208</v>
      </c>
      <c r="C51" s="7">
        <v>247.28999999999996</v>
      </c>
      <c r="D51" s="7">
        <v>246.685</v>
      </c>
      <c r="E51" s="7">
        <v>271.05499999999995</v>
      </c>
      <c r="F51" s="7">
        <v>141.69999999999999</v>
      </c>
    </row>
    <row r="52" spans="2:6" x14ac:dyDescent="0.45">
      <c r="B52" s="8" t="s">
        <v>6209</v>
      </c>
      <c r="C52" s="7">
        <v>116.39499999999998</v>
      </c>
      <c r="D52" s="7">
        <v>41.25</v>
      </c>
      <c r="E52" s="7">
        <v>15.54</v>
      </c>
      <c r="F52"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55DF-1CC3-4E57-B21E-6FC232A036BF}">
  <dimension ref="A3:B6"/>
  <sheetViews>
    <sheetView workbookViewId="0">
      <selection activeCell="B5" sqref="B5"/>
    </sheetView>
  </sheetViews>
  <sheetFormatPr defaultRowHeight="14.25" x14ac:dyDescent="0.45"/>
  <cols>
    <col min="1" max="1" width="13.53125" bestFit="1" customWidth="1"/>
    <col min="2" max="2" width="11.06640625" bestFit="1" customWidth="1"/>
    <col min="3" max="5" width="5.6640625" bestFit="1" customWidth="1"/>
    <col min="6" max="6" width="4.19921875" bestFit="1" customWidth="1"/>
  </cols>
  <sheetData>
    <row r="3" spans="1:2" x14ac:dyDescent="0.45">
      <c r="A3" s="6" t="s">
        <v>7</v>
      </c>
      <c r="B3" t="s">
        <v>6216</v>
      </c>
    </row>
    <row r="4" spans="1:2" x14ac:dyDescent="0.45">
      <c r="A4" t="s">
        <v>28</v>
      </c>
      <c r="B4" s="9">
        <v>2798.5050000000001</v>
      </c>
    </row>
    <row r="5" spans="1:2" x14ac:dyDescent="0.45">
      <c r="A5" t="s">
        <v>318</v>
      </c>
      <c r="B5" s="9">
        <v>6696.8649999999989</v>
      </c>
    </row>
    <row r="6" spans="1:2" x14ac:dyDescent="0.45">
      <c r="A6" t="s">
        <v>19</v>
      </c>
      <c r="B6" s="9">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8DE6-84D5-40E9-8364-CBDDC3D6D9CF}">
  <dimension ref="A3:B8"/>
  <sheetViews>
    <sheetView topLeftCell="E1" workbookViewId="0">
      <selection activeCell="H18" sqref="H18"/>
    </sheetView>
  </sheetViews>
  <sheetFormatPr defaultRowHeight="14.25" x14ac:dyDescent="0.45"/>
  <cols>
    <col min="1" max="1" width="16.1328125" bestFit="1" customWidth="1"/>
    <col min="2" max="2" width="11.06640625" bestFit="1" customWidth="1"/>
    <col min="3" max="5" width="5.6640625" bestFit="1" customWidth="1"/>
    <col min="6" max="6" width="4.19921875" bestFit="1" customWidth="1"/>
  </cols>
  <sheetData>
    <row r="3" spans="1:2" x14ac:dyDescent="0.45">
      <c r="A3" s="6" t="s">
        <v>4</v>
      </c>
      <c r="B3" t="s">
        <v>6216</v>
      </c>
    </row>
    <row r="4" spans="1:2" x14ac:dyDescent="0.45">
      <c r="A4" t="s">
        <v>3753</v>
      </c>
      <c r="B4" s="9">
        <v>278.01</v>
      </c>
    </row>
    <row r="5" spans="1:2" x14ac:dyDescent="0.45">
      <c r="A5" t="s">
        <v>1598</v>
      </c>
      <c r="B5" s="9">
        <v>281.67499999999995</v>
      </c>
    </row>
    <row r="6" spans="1:2" x14ac:dyDescent="0.45">
      <c r="A6" t="s">
        <v>2587</v>
      </c>
      <c r="B6" s="9">
        <v>289.11</v>
      </c>
    </row>
    <row r="7" spans="1:2" x14ac:dyDescent="0.45">
      <c r="A7" t="s">
        <v>5765</v>
      </c>
      <c r="B7" s="9">
        <v>307.04499999999996</v>
      </c>
    </row>
    <row r="8" spans="1:2" x14ac:dyDescent="0.45">
      <c r="A8" t="s">
        <v>5114</v>
      </c>
      <c r="B8" s="9">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L1" zoomScale="115" zoomScaleNormal="115" workbookViewId="0">
      <selection activeCell="P3" sqref="P3"/>
    </sheetView>
  </sheetViews>
  <sheetFormatPr defaultRowHeight="14.25" x14ac:dyDescent="0.45"/>
  <cols>
    <col min="1" max="1" width="16.59765625" bestFit="1" customWidth="1"/>
    <col min="2" max="2" width="11.86328125" bestFit="1" customWidth="1"/>
    <col min="3" max="3" width="17.3984375" bestFit="1" customWidth="1"/>
    <col min="4" max="4" width="10.86328125" customWidth="1"/>
    <col min="5" max="5" width="9.46484375" customWidth="1"/>
    <col min="6" max="6" width="15.53125" customWidth="1"/>
    <col min="7" max="7" width="34.86328125" bestFit="1" customWidth="1"/>
    <col min="8" max="8" width="11.53125" bestFit="1" customWidth="1"/>
    <col min="9" max="9" width="12" customWidth="1"/>
    <col min="10" max="10" width="11.33203125" customWidth="1"/>
    <col min="11" max="11" width="5.53125" bestFit="1" customWidth="1"/>
    <col min="12" max="12" width="10.19921875" customWidth="1"/>
    <col min="13" max="13" width="8.265625" bestFit="1" customWidth="1"/>
    <col min="14" max="14" width="16.33203125" customWidth="1"/>
    <col min="15" max="15" width="16.6640625" customWidth="1"/>
    <col min="16" max="16" width="12.86328125"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_xlfn.XLOOKUP(orders!C2,customers!$A$1:$A$1001,customers!$G$1:$G$1001)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 "Excelsa",IF(I2="Ara","Arabica",IF(I2="Lib","Liberica",""))))</f>
        <v>Robusta</v>
      </c>
      <c r="O2" t="str">
        <f>IF(J2="M","Medium",IF(J2="L","Light",IF(J2="D","Dark","")))</f>
        <v>Medium</v>
      </c>
      <c r="P2" t="str">
        <f>_xlfn.XLOOKUP(Orders[[#This Row],[Customer ID]],customers!$A$1:$A$1001,customers!$I$1:$I$1001,,0)</f>
        <v>Yes</v>
      </c>
    </row>
    <row r="3" spans="1:16" x14ac:dyDescent="0.4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_xlfn.XLOOKUP(orders!C3,customers!$A$1:$A$1001,customers!$G$1:$G$1001)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 "Excelsa",IF(I3="Ara","Arabica",IF(I3="Lib","Liberica",""))))</f>
        <v>Excelsa</v>
      </c>
      <c r="O3" t="str">
        <f t="shared" ref="O3:O66" si="2">IF(J3="M","Medium",IF(J3="L","Light",IF(J3="D","Dark","")))</f>
        <v>Medium</v>
      </c>
      <c r="P3" t="str">
        <f>_xlfn.XLOOKUP(Orders[[#This Row],[Customer ID]],customers!$A$1:$A$1001,customers!$I$1:$I$1001,,0)</f>
        <v>Yes</v>
      </c>
    </row>
    <row r="4" spans="1:16" x14ac:dyDescent="0.4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_xlfn.XLOOKUP(orders!C4,customers!$A$1:$A$1001,customers!$G$1:$G$1001)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4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_xlfn.XLOOKUP(orders!C5,customers!$A$1:$A$1001,customers!$G$1:$G$1001)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4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_xlfn.XLOOKUP(orders!C6,customers!$A$1:$A$1001,customers!$G$1:$G$1001)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4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_xlfn.XLOOKUP(orders!C7,customers!$A$1:$A$1001,customers!$G$1:$G$1001)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4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_xlfn.XLOOKUP(orders!C8,customers!$A$1:$A$1001,customers!$G$1:$G$1001)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4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_xlfn.XLOOKUP(orders!C9,customers!$A$1:$A$1001,customers!$G$1:$G$1001)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4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_xlfn.XLOOKUP(orders!C10,customers!$A$1:$A$1001,customers!$G$1:$G$1001)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4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_xlfn.XLOOKUP(orders!C11,customers!$A$1:$A$1001,customers!$G$1:$G$1001)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4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_xlfn.XLOOKUP(orders!C12,customers!$A$1:$A$1001,customers!$G$1:$G$1001)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4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_xlfn.XLOOKUP(orders!C13,customers!$A$1:$A$1001,customers!$G$1:$G$1001)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4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_xlfn.XLOOKUP(orders!C14,customers!$A$1:$A$1001,customers!$G$1:$G$1001)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4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_xlfn.XLOOKUP(orders!C15,customers!$A$1:$A$1001,customers!$G$1:$G$1001)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4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_xlfn.XLOOKUP(orders!C16,customers!$A$1:$A$1001,customers!$G$1:$G$1001)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4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_xlfn.XLOOKUP(orders!C17,customers!$A$1:$A$1001,customers!$G$1:$G$1001)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4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_xlfn.XLOOKUP(orders!C18,customers!$A$1:$A$1001,customers!$G$1:$G$1001)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4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_xlfn.XLOOKUP(orders!C19,customers!$A$1:$A$1001,customers!$G$1:$G$1001)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4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_xlfn.XLOOKUP(orders!C20,customers!$A$1:$A$1001,customers!$G$1:$G$1001)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4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_xlfn.XLOOKUP(orders!C21,customers!$A$1:$A$1001,customers!$G$1:$G$1001)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4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_xlfn.XLOOKUP(orders!C22,customers!$A$1:$A$1001,customers!$G$1:$G$1001)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4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_xlfn.XLOOKUP(orders!C23,customers!$A$1:$A$1001,customers!$G$1:$G$1001)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4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_xlfn.XLOOKUP(orders!C24,customers!$A$1:$A$1001,customers!$G$1:$G$1001)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4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_xlfn.XLOOKUP(orders!C25,customers!$A$1:$A$1001,customers!$G$1:$G$1001)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4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_xlfn.XLOOKUP(orders!C26,customers!$A$1:$A$1001,customers!$G$1:$G$1001)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4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_xlfn.XLOOKUP(orders!C27,customers!$A$1:$A$1001,customers!$G$1:$G$1001)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4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_xlfn.XLOOKUP(orders!C28,customers!$A$1:$A$1001,customers!$G$1:$G$1001)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4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_xlfn.XLOOKUP(orders!C29,customers!$A$1:$A$1001,customers!$G$1:$G$1001)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4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_xlfn.XLOOKUP(orders!C30,customers!$A$1:$A$1001,customers!$G$1:$G$1001)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4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_xlfn.XLOOKUP(orders!C31,customers!$A$1:$A$1001,customers!$G$1:$G$1001)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4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_xlfn.XLOOKUP(orders!C32,customers!$A$1:$A$1001,customers!$G$1:$G$1001)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4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_xlfn.XLOOKUP(orders!C33,customers!$A$1:$A$1001,customers!$G$1:$G$1001)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4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_xlfn.XLOOKUP(orders!C34,customers!$A$1:$A$1001,customers!$G$1:$G$1001)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4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_xlfn.XLOOKUP(orders!C35,customers!$A$1:$A$1001,customers!$G$1:$G$1001)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4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_xlfn.XLOOKUP(orders!C36,customers!$A$1:$A$1001,customers!$G$1:$G$1001)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4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_xlfn.XLOOKUP(orders!C37,customers!$A$1:$A$1001,customers!$G$1:$G$1001)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4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_xlfn.XLOOKUP(orders!C38,customers!$A$1:$A$1001,customers!$G$1:$G$1001)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4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_xlfn.XLOOKUP(orders!C39,customers!$A$1:$A$1001,customers!$G$1:$G$1001)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4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_xlfn.XLOOKUP(orders!C40,customers!$A$1:$A$1001,customers!$G$1:$G$1001)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4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_xlfn.XLOOKUP(orders!C41,customers!$A$1:$A$1001,customers!$G$1:$G$1001)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4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_xlfn.XLOOKUP(orders!C42,customers!$A$1:$A$1001,customers!$G$1:$G$1001)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4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_xlfn.XLOOKUP(orders!C43,customers!$A$1:$A$1001,customers!$G$1:$G$1001)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4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_xlfn.XLOOKUP(orders!C44,customers!$A$1:$A$1001,customers!$G$1:$G$1001)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4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_xlfn.XLOOKUP(orders!C45,customers!$A$1:$A$1001,customers!$G$1:$G$1001)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4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_xlfn.XLOOKUP(orders!C46,customers!$A$1:$A$1001,customers!$G$1:$G$1001)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4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_xlfn.XLOOKUP(orders!C47,customers!$A$1:$A$1001,customers!$G$1:$G$1001)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4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_xlfn.XLOOKUP(orders!C48,customers!$A$1:$A$1001,customers!$G$1:$G$1001)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4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_xlfn.XLOOKUP(orders!C49,customers!$A$1:$A$1001,customers!$G$1:$G$1001)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4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_xlfn.XLOOKUP(orders!C50,customers!$A$1:$A$1001,customers!$G$1:$G$1001)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4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_xlfn.XLOOKUP(orders!C51,customers!$A$1:$A$1001,customers!$G$1:$G$1001)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4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_xlfn.XLOOKUP(orders!C52,customers!$A$1:$A$1001,customers!$G$1:$G$1001)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4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_xlfn.XLOOKUP(orders!C53,customers!$A$1:$A$1001,customers!$G$1:$G$1001)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4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_xlfn.XLOOKUP(orders!C54,customers!$A$1:$A$1001,customers!$G$1:$G$1001)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4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_xlfn.XLOOKUP(orders!C55,customers!$A$1:$A$1001,customers!$G$1:$G$1001)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4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_xlfn.XLOOKUP(orders!C56,customers!$A$1:$A$1001,customers!$G$1:$G$1001)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4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_xlfn.XLOOKUP(orders!C57,customers!$A$1:$A$1001,customers!$G$1:$G$1001)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4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_xlfn.XLOOKUP(orders!C58,customers!$A$1:$A$1001,customers!$G$1:$G$1001)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4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_xlfn.XLOOKUP(orders!C59,customers!$A$1:$A$1001,customers!$G$1:$G$1001)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4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_xlfn.XLOOKUP(orders!C60,customers!$A$1:$A$1001,customers!$G$1:$G$1001)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4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_xlfn.XLOOKUP(orders!C61,customers!$A$1:$A$1001,customers!$G$1:$G$1001)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4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_xlfn.XLOOKUP(orders!C62,customers!$A$1:$A$1001,customers!$G$1:$G$1001)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4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_xlfn.XLOOKUP(orders!C63,customers!$A$1:$A$1001,customers!$G$1:$G$1001)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4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_xlfn.XLOOKUP(orders!C64,customers!$A$1:$A$1001,customers!$G$1:$G$1001)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4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_xlfn.XLOOKUP(orders!C65,customers!$A$1:$A$1001,customers!$G$1:$G$1001)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4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_xlfn.XLOOKUP(orders!C66,customers!$A$1:$A$1001,customers!$G$1:$G$1001)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4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_xlfn.XLOOKUP(orders!C67,customers!$A$1:$A$1001,customers!$G$1:$G$1001)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 "Excelsa",IF(I67="Ara","Arabica",IF(I67="Lib","Liberica",""))))</f>
        <v>Robusta</v>
      </c>
      <c r="O67" t="str">
        <f t="shared" ref="O67:O130" si="5">IF(J67="M","Medium",IF(J67="L","Light",IF(J67="D","Dark","")))</f>
        <v>Dark</v>
      </c>
      <c r="P67" t="str">
        <f>_xlfn.XLOOKUP(Orders[[#This Row],[Customer ID]],customers!$A$1:$A$1001,customers!$I$1:$I$1001,,0)</f>
        <v>Yes</v>
      </c>
    </row>
    <row r="68" spans="1:16" x14ac:dyDescent="0.4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_xlfn.XLOOKUP(orders!C68,customers!$A$1:$A$1001,customers!$G$1:$G$1001)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4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_xlfn.XLOOKUP(orders!C69,customers!$A$1:$A$1001,customers!$G$1:$G$1001)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4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_xlfn.XLOOKUP(orders!C70,customers!$A$1:$A$1001,customers!$G$1:$G$1001)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4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_xlfn.XLOOKUP(orders!C71,customers!$A$1:$A$1001,customers!$G$1:$G$1001)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4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_xlfn.XLOOKUP(orders!C72,customers!$A$1:$A$1001,customers!$G$1:$G$1001)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4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_xlfn.XLOOKUP(orders!C73,customers!$A$1:$A$1001,customers!$G$1:$G$1001)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4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_xlfn.XLOOKUP(orders!C74,customers!$A$1:$A$1001,customers!$G$1:$G$1001)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4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_xlfn.XLOOKUP(orders!C75,customers!$A$1:$A$1001,customers!$G$1:$G$1001)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4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_xlfn.XLOOKUP(orders!C76,customers!$A$1:$A$1001,customers!$G$1:$G$1001)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4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_xlfn.XLOOKUP(orders!C77,customers!$A$1:$A$1001,customers!$G$1:$G$1001)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4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_xlfn.XLOOKUP(orders!C78,customers!$A$1:$A$1001,customers!$G$1:$G$1001)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4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_xlfn.XLOOKUP(orders!C79,customers!$A$1:$A$1001,customers!$G$1:$G$1001)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4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_xlfn.XLOOKUP(orders!C80,customers!$A$1:$A$1001,customers!$G$1:$G$1001)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4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_xlfn.XLOOKUP(orders!C81,customers!$A$1:$A$1001,customers!$G$1:$G$1001)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4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_xlfn.XLOOKUP(orders!C82,customers!$A$1:$A$1001,customers!$G$1:$G$1001)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4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_xlfn.XLOOKUP(orders!C83,customers!$A$1:$A$1001,customers!$G$1:$G$1001)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4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_xlfn.XLOOKUP(orders!C84,customers!$A$1:$A$1001,customers!$G$1:$G$1001)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4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_xlfn.XLOOKUP(orders!C85,customers!$A$1:$A$1001,customers!$G$1:$G$1001)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4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_xlfn.XLOOKUP(orders!C86,customers!$A$1:$A$1001,customers!$G$1:$G$1001)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4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_xlfn.XLOOKUP(orders!C87,customers!$A$1:$A$1001,customers!$G$1:$G$1001)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4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_xlfn.XLOOKUP(orders!C88,customers!$A$1:$A$1001,customers!$G$1:$G$1001)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4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_xlfn.XLOOKUP(orders!C89,customers!$A$1:$A$1001,customers!$G$1:$G$1001)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4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_xlfn.XLOOKUP(orders!C90,customers!$A$1:$A$1001,customers!$G$1:$G$1001)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4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_xlfn.XLOOKUP(orders!C91,customers!$A$1:$A$1001,customers!$G$1:$G$1001)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4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_xlfn.XLOOKUP(orders!C92,customers!$A$1:$A$1001,customers!$G$1:$G$1001)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4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_xlfn.XLOOKUP(orders!C93,customers!$A$1:$A$1001,customers!$G$1:$G$1001)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4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_xlfn.XLOOKUP(orders!C94,customers!$A$1:$A$1001,customers!$G$1:$G$1001)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4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_xlfn.XLOOKUP(orders!C95,customers!$A$1:$A$1001,customers!$G$1:$G$1001)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4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_xlfn.XLOOKUP(orders!C96,customers!$A$1:$A$1001,customers!$G$1:$G$1001)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4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_xlfn.XLOOKUP(orders!C97,customers!$A$1:$A$1001,customers!$G$1:$G$1001)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4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_xlfn.XLOOKUP(orders!C98,customers!$A$1:$A$1001,customers!$G$1:$G$1001)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4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_xlfn.XLOOKUP(orders!C99,customers!$A$1:$A$1001,customers!$G$1:$G$1001)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4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_xlfn.XLOOKUP(orders!C100,customers!$A$1:$A$1001,customers!$G$1:$G$1001)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4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_xlfn.XLOOKUP(orders!C101,customers!$A$1:$A$1001,customers!$G$1:$G$1001)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4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_xlfn.XLOOKUP(orders!C102,customers!$A$1:$A$1001,customers!$G$1:$G$1001)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4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_xlfn.XLOOKUP(orders!C103,customers!$A$1:$A$1001,customers!$G$1:$G$1001)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4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_xlfn.XLOOKUP(orders!C104,customers!$A$1:$A$1001,customers!$G$1:$G$1001)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4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_xlfn.XLOOKUP(orders!C105,customers!$A$1:$A$1001,customers!$G$1:$G$1001)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4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_xlfn.XLOOKUP(orders!C106,customers!$A$1:$A$1001,customers!$G$1:$G$1001)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4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_xlfn.XLOOKUP(orders!C107,customers!$A$1:$A$1001,customers!$G$1:$G$1001)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4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_xlfn.XLOOKUP(orders!C108,customers!$A$1:$A$1001,customers!$G$1:$G$1001)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4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_xlfn.XLOOKUP(orders!C109,customers!$A$1:$A$1001,customers!$G$1:$G$1001)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4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_xlfn.XLOOKUP(orders!C110,customers!$A$1:$A$1001,customers!$G$1:$G$1001)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4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_xlfn.XLOOKUP(orders!C111,customers!$A$1:$A$1001,customers!$G$1:$G$1001)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4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_xlfn.XLOOKUP(orders!C112,customers!$A$1:$A$1001,customers!$G$1:$G$1001)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4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_xlfn.XLOOKUP(orders!C113,customers!$A$1:$A$1001,customers!$G$1:$G$1001)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4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_xlfn.XLOOKUP(orders!C114,customers!$A$1:$A$1001,customers!$G$1:$G$1001)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4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_xlfn.XLOOKUP(orders!C115,customers!$A$1:$A$1001,customers!$G$1:$G$1001)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4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_xlfn.XLOOKUP(orders!C116,customers!$A$1:$A$1001,customers!$G$1:$G$1001)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4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_xlfn.XLOOKUP(orders!C117,customers!$A$1:$A$1001,customers!$G$1:$G$1001)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4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_xlfn.XLOOKUP(orders!C118,customers!$A$1:$A$1001,customers!$G$1:$G$1001)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4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_xlfn.XLOOKUP(orders!C119,customers!$A$1:$A$1001,customers!$G$1:$G$1001)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4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_xlfn.XLOOKUP(orders!C120,customers!$A$1:$A$1001,customers!$G$1:$G$1001)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4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_xlfn.XLOOKUP(orders!C121,customers!$A$1:$A$1001,customers!$G$1:$G$1001)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4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_xlfn.XLOOKUP(orders!C122,customers!$A$1:$A$1001,customers!$G$1:$G$1001)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4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_xlfn.XLOOKUP(orders!C123,customers!$A$1:$A$1001,customers!$G$1:$G$1001)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4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_xlfn.XLOOKUP(orders!C124,customers!$A$1:$A$1001,customers!$G$1:$G$1001)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4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_xlfn.XLOOKUP(orders!C125,customers!$A$1:$A$1001,customers!$G$1:$G$1001)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4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_xlfn.XLOOKUP(orders!C126,customers!$A$1:$A$1001,customers!$G$1:$G$1001)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4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_xlfn.XLOOKUP(orders!C127,customers!$A$1:$A$1001,customers!$G$1:$G$1001)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4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_xlfn.XLOOKUP(orders!C128,customers!$A$1:$A$1001,customers!$G$1:$G$1001)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4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_xlfn.XLOOKUP(orders!C129,customers!$A$1:$A$1001,customers!$G$1:$G$1001)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4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_xlfn.XLOOKUP(orders!C130,customers!$A$1:$A$1001,customers!$G$1:$G$1001)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4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_xlfn.XLOOKUP(orders!C131,customers!$A$1:$A$1001,customers!$G$1:$G$1001)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 "Excelsa",IF(I131="Ara","Arabica",IF(I131="Lib","Liberica",""))))</f>
        <v>Excelsa</v>
      </c>
      <c r="O131" t="str">
        <f t="shared" ref="O131:O194" si="8">IF(J131="M","Medium",IF(J131="L","Light",IF(J131="D","Dark","")))</f>
        <v>Dark</v>
      </c>
      <c r="P131" t="str">
        <f>_xlfn.XLOOKUP(Orders[[#This Row],[Customer ID]],customers!$A$1:$A$1001,customers!$I$1:$I$1001,,0)</f>
        <v>Yes</v>
      </c>
    </row>
    <row r="132" spans="1:16" x14ac:dyDescent="0.4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_xlfn.XLOOKUP(orders!C132,customers!$A$1:$A$1001,customers!$G$1:$G$1001)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4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_xlfn.XLOOKUP(orders!C133,customers!$A$1:$A$1001,customers!$G$1:$G$1001)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4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_xlfn.XLOOKUP(orders!C134,customers!$A$1:$A$1001,customers!$G$1:$G$1001)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4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_xlfn.XLOOKUP(orders!C135,customers!$A$1:$A$1001,customers!$G$1:$G$1001)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4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_xlfn.XLOOKUP(orders!C136,customers!$A$1:$A$1001,customers!$G$1:$G$1001)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4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_xlfn.XLOOKUP(orders!C137,customers!$A$1:$A$1001,customers!$G$1:$G$1001)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4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_xlfn.XLOOKUP(orders!C138,customers!$A$1:$A$1001,customers!$G$1:$G$1001)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4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_xlfn.XLOOKUP(orders!C139,customers!$A$1:$A$1001,customers!$G$1:$G$1001)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4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_xlfn.XLOOKUP(orders!C140,customers!$A$1:$A$1001,customers!$G$1:$G$1001)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4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_xlfn.XLOOKUP(orders!C141,customers!$A$1:$A$1001,customers!$G$1:$G$1001)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4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_xlfn.XLOOKUP(orders!C142,customers!$A$1:$A$1001,customers!$G$1:$G$1001)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4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_xlfn.XLOOKUP(orders!C143,customers!$A$1:$A$1001,customers!$G$1:$G$1001)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4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_xlfn.XLOOKUP(orders!C144,customers!$A$1:$A$1001,customers!$G$1:$G$1001)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4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_xlfn.XLOOKUP(orders!C145,customers!$A$1:$A$1001,customers!$G$1:$G$1001)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4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_xlfn.XLOOKUP(orders!C146,customers!$A$1:$A$1001,customers!$G$1:$G$1001)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4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_xlfn.XLOOKUP(orders!C147,customers!$A$1:$A$1001,customers!$G$1:$G$1001)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4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_xlfn.XLOOKUP(orders!C148,customers!$A$1:$A$1001,customers!$G$1:$G$1001)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4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_xlfn.XLOOKUP(orders!C149,customers!$A$1:$A$1001,customers!$G$1:$G$1001)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4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_xlfn.XLOOKUP(orders!C150,customers!$A$1:$A$1001,customers!$G$1:$G$1001)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4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_xlfn.XLOOKUP(orders!C151,customers!$A$1:$A$1001,customers!$G$1:$G$1001)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4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_xlfn.XLOOKUP(orders!C152,customers!$A$1:$A$1001,customers!$G$1:$G$1001)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4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_xlfn.XLOOKUP(orders!C153,customers!$A$1:$A$1001,customers!$G$1:$G$1001)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4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_xlfn.XLOOKUP(orders!C154,customers!$A$1:$A$1001,customers!$G$1:$G$1001)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4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_xlfn.XLOOKUP(orders!C155,customers!$A$1:$A$1001,customers!$G$1:$G$1001)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4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_xlfn.XLOOKUP(orders!C156,customers!$A$1:$A$1001,customers!$G$1:$G$1001)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4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_xlfn.XLOOKUP(orders!C157,customers!$A$1:$A$1001,customers!$G$1:$G$1001)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4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_xlfn.XLOOKUP(orders!C158,customers!$A$1:$A$1001,customers!$G$1:$G$1001)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4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_xlfn.XLOOKUP(orders!C159,customers!$A$1:$A$1001,customers!$G$1:$G$1001)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4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_xlfn.XLOOKUP(orders!C160,customers!$A$1:$A$1001,customers!$G$1:$G$1001)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4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_xlfn.XLOOKUP(orders!C161,customers!$A$1:$A$1001,customers!$G$1:$G$1001)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4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_xlfn.XLOOKUP(orders!C162,customers!$A$1:$A$1001,customers!$G$1:$G$1001)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4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_xlfn.XLOOKUP(orders!C163,customers!$A$1:$A$1001,customers!$G$1:$G$1001)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4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_xlfn.XLOOKUP(orders!C164,customers!$A$1:$A$1001,customers!$G$1:$G$1001)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4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_xlfn.XLOOKUP(orders!C165,customers!$A$1:$A$1001,customers!$G$1:$G$1001)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4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_xlfn.XLOOKUP(orders!C166,customers!$A$1:$A$1001,customers!$G$1:$G$1001)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4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_xlfn.XLOOKUP(orders!C167,customers!$A$1:$A$1001,customers!$G$1:$G$1001)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4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_xlfn.XLOOKUP(orders!C168,customers!$A$1:$A$1001,customers!$G$1:$G$1001)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4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_xlfn.XLOOKUP(orders!C169,customers!$A$1:$A$1001,customers!$G$1:$G$1001)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4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_xlfn.XLOOKUP(orders!C170,customers!$A$1:$A$1001,customers!$G$1:$G$1001)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4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_xlfn.XLOOKUP(orders!C171,customers!$A$1:$A$1001,customers!$G$1:$G$1001)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4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_xlfn.XLOOKUP(orders!C172,customers!$A$1:$A$1001,customers!$G$1:$G$1001)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4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_xlfn.XLOOKUP(orders!C173,customers!$A$1:$A$1001,customers!$G$1:$G$1001)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4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_xlfn.XLOOKUP(orders!C174,customers!$A$1:$A$1001,customers!$G$1:$G$1001)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4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_xlfn.XLOOKUP(orders!C175,customers!$A$1:$A$1001,customers!$G$1:$G$1001)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4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_xlfn.XLOOKUP(orders!C176,customers!$A$1:$A$1001,customers!$G$1:$G$1001)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4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_xlfn.XLOOKUP(orders!C177,customers!$A$1:$A$1001,customers!$G$1:$G$1001)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4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_xlfn.XLOOKUP(orders!C178,customers!$A$1:$A$1001,customers!$G$1:$G$1001)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4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_xlfn.XLOOKUP(orders!C179,customers!$A$1:$A$1001,customers!$G$1:$G$1001)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4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_xlfn.XLOOKUP(orders!C180,customers!$A$1:$A$1001,customers!$G$1:$G$1001)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4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_xlfn.XLOOKUP(orders!C181,customers!$A$1:$A$1001,customers!$G$1:$G$1001)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4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_xlfn.XLOOKUP(orders!C182,customers!$A$1:$A$1001,customers!$G$1:$G$1001)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4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_xlfn.XLOOKUP(orders!C183,customers!$A$1:$A$1001,customers!$G$1:$G$1001)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4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_xlfn.XLOOKUP(orders!C184,customers!$A$1:$A$1001,customers!$G$1:$G$1001)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4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_xlfn.XLOOKUP(orders!C185,customers!$A$1:$A$1001,customers!$G$1:$G$1001)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4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_xlfn.XLOOKUP(orders!C186,customers!$A$1:$A$1001,customers!$G$1:$G$1001)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4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_xlfn.XLOOKUP(orders!C187,customers!$A$1:$A$1001,customers!$G$1:$G$1001)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4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_xlfn.XLOOKUP(orders!C188,customers!$A$1:$A$1001,customers!$G$1:$G$1001)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4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_xlfn.XLOOKUP(orders!C189,customers!$A$1:$A$1001,customers!$G$1:$G$1001)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4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_xlfn.XLOOKUP(orders!C190,customers!$A$1:$A$1001,customers!$G$1:$G$1001)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4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_xlfn.XLOOKUP(orders!C191,customers!$A$1:$A$1001,customers!$G$1:$G$1001)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4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_xlfn.XLOOKUP(orders!C192,customers!$A$1:$A$1001,customers!$G$1:$G$1001)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4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_xlfn.XLOOKUP(orders!C193,customers!$A$1:$A$1001,customers!$G$1:$G$1001)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4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_xlfn.XLOOKUP(orders!C194,customers!$A$1:$A$1001,customers!$G$1:$G$1001)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4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_xlfn.XLOOKUP(orders!C195,customers!$A$1:$A$1001,customers!$G$1:$G$1001)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 "Excelsa",IF(I195="Ara","Arabica",IF(I195="Lib","Liberica",""))))</f>
        <v>Excelsa</v>
      </c>
      <c r="O195" t="str">
        <f t="shared" ref="O195:O258" si="11">IF(J195="M","Medium",IF(J195="L","Light",IF(J195="D","Dark","")))</f>
        <v>Light</v>
      </c>
      <c r="P195" t="str">
        <f>_xlfn.XLOOKUP(Orders[[#This Row],[Customer ID]],customers!$A$1:$A$1001,customers!$I$1:$I$1001,,0)</f>
        <v>No</v>
      </c>
    </row>
    <row r="196" spans="1:16" x14ac:dyDescent="0.4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_xlfn.XLOOKUP(orders!C196,customers!$A$1:$A$1001,customers!$G$1:$G$1001)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4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_xlfn.XLOOKUP(orders!C197,customers!$A$1:$A$1001,customers!$G$1:$G$1001)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4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_xlfn.XLOOKUP(orders!C198,customers!$A$1:$A$1001,customers!$G$1:$G$1001)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4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_xlfn.XLOOKUP(orders!C199,customers!$A$1:$A$1001,customers!$G$1:$G$1001)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4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_xlfn.XLOOKUP(orders!C200,customers!$A$1:$A$1001,customers!$G$1:$G$1001)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4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_xlfn.XLOOKUP(orders!C201,customers!$A$1:$A$1001,customers!$G$1:$G$1001)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4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_xlfn.XLOOKUP(orders!C202,customers!$A$1:$A$1001,customers!$G$1:$G$1001)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4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_xlfn.XLOOKUP(orders!C203,customers!$A$1:$A$1001,customers!$G$1:$G$1001)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4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_xlfn.XLOOKUP(orders!C204,customers!$A$1:$A$1001,customers!$G$1:$G$1001)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4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_xlfn.XLOOKUP(orders!C205,customers!$A$1:$A$1001,customers!$G$1:$G$1001)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4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_xlfn.XLOOKUP(orders!C206,customers!$A$1:$A$1001,customers!$G$1:$G$1001)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4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_xlfn.XLOOKUP(orders!C207,customers!$A$1:$A$1001,customers!$G$1:$G$1001)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4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_xlfn.XLOOKUP(orders!C208,customers!$A$1:$A$1001,customers!$G$1:$G$1001)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4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_xlfn.XLOOKUP(orders!C209,customers!$A$1:$A$1001,customers!$G$1:$G$1001)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4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_xlfn.XLOOKUP(orders!C210,customers!$A$1:$A$1001,customers!$G$1:$G$1001)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4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_xlfn.XLOOKUP(orders!C211,customers!$A$1:$A$1001,customers!$G$1:$G$1001)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4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_xlfn.XLOOKUP(orders!C212,customers!$A$1:$A$1001,customers!$G$1:$G$1001)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4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_xlfn.XLOOKUP(orders!C213,customers!$A$1:$A$1001,customers!$G$1:$G$1001)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4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_xlfn.XLOOKUP(orders!C214,customers!$A$1:$A$1001,customers!$G$1:$G$1001)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4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_xlfn.XLOOKUP(orders!C215,customers!$A$1:$A$1001,customers!$G$1:$G$1001)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4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_xlfn.XLOOKUP(orders!C216,customers!$A$1:$A$1001,customers!$G$1:$G$1001)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4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_xlfn.XLOOKUP(orders!C217,customers!$A$1:$A$1001,customers!$G$1:$G$1001)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4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_xlfn.XLOOKUP(orders!C218,customers!$A$1:$A$1001,customers!$G$1:$G$1001)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4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_xlfn.XLOOKUP(orders!C219,customers!$A$1:$A$1001,customers!$G$1:$G$1001)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4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_xlfn.XLOOKUP(orders!C220,customers!$A$1:$A$1001,customers!$G$1:$G$1001)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4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_xlfn.XLOOKUP(orders!C221,customers!$A$1:$A$1001,customers!$G$1:$G$1001)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4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_xlfn.XLOOKUP(orders!C222,customers!$A$1:$A$1001,customers!$G$1:$G$1001)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4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_xlfn.XLOOKUP(orders!C223,customers!$A$1:$A$1001,customers!$G$1:$G$1001)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4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_xlfn.XLOOKUP(orders!C224,customers!$A$1:$A$1001,customers!$G$1:$G$1001)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4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_xlfn.XLOOKUP(orders!C225,customers!$A$1:$A$1001,customers!$G$1:$G$1001)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4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_xlfn.XLOOKUP(orders!C226,customers!$A$1:$A$1001,customers!$G$1:$G$1001)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4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_xlfn.XLOOKUP(orders!C227,customers!$A$1:$A$1001,customers!$G$1:$G$1001)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4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_xlfn.XLOOKUP(orders!C228,customers!$A$1:$A$1001,customers!$G$1:$G$1001)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4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_xlfn.XLOOKUP(orders!C229,customers!$A$1:$A$1001,customers!$G$1:$G$1001)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4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_xlfn.XLOOKUP(orders!C230,customers!$A$1:$A$1001,customers!$G$1:$G$1001)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4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_xlfn.XLOOKUP(orders!C231,customers!$A$1:$A$1001,customers!$G$1:$G$1001)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4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_xlfn.XLOOKUP(orders!C232,customers!$A$1:$A$1001,customers!$G$1:$G$1001)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4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_xlfn.XLOOKUP(orders!C233,customers!$A$1:$A$1001,customers!$G$1:$G$1001)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4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_xlfn.XLOOKUP(orders!C234,customers!$A$1:$A$1001,customers!$G$1:$G$1001)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4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_xlfn.XLOOKUP(orders!C235,customers!$A$1:$A$1001,customers!$G$1:$G$1001)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4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_xlfn.XLOOKUP(orders!C236,customers!$A$1:$A$1001,customers!$G$1:$G$1001)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4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_xlfn.XLOOKUP(orders!C237,customers!$A$1:$A$1001,customers!$G$1:$G$1001)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4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_xlfn.XLOOKUP(orders!C238,customers!$A$1:$A$1001,customers!$G$1:$G$1001)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4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_xlfn.XLOOKUP(orders!C239,customers!$A$1:$A$1001,customers!$G$1:$G$1001)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4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_xlfn.XLOOKUP(orders!C240,customers!$A$1:$A$1001,customers!$G$1:$G$1001)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4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_xlfn.XLOOKUP(orders!C241,customers!$A$1:$A$1001,customers!$G$1:$G$1001)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4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_xlfn.XLOOKUP(orders!C242,customers!$A$1:$A$1001,customers!$G$1:$G$1001)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4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_xlfn.XLOOKUP(orders!C243,customers!$A$1:$A$1001,customers!$G$1:$G$1001)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4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_xlfn.XLOOKUP(orders!C244,customers!$A$1:$A$1001,customers!$G$1:$G$1001)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4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_xlfn.XLOOKUP(orders!C245,customers!$A$1:$A$1001,customers!$G$1:$G$1001)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4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_xlfn.XLOOKUP(orders!C246,customers!$A$1:$A$1001,customers!$G$1:$G$1001)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4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_xlfn.XLOOKUP(orders!C247,customers!$A$1:$A$1001,customers!$G$1:$G$1001)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4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_xlfn.XLOOKUP(orders!C248,customers!$A$1:$A$1001,customers!$G$1:$G$1001)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4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_xlfn.XLOOKUP(orders!C249,customers!$A$1:$A$1001,customers!$G$1:$G$1001)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4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_xlfn.XLOOKUP(orders!C250,customers!$A$1:$A$1001,customers!$G$1:$G$1001)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4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_xlfn.XLOOKUP(orders!C251,customers!$A$1:$A$1001,customers!$G$1:$G$1001)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4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_xlfn.XLOOKUP(orders!C252,customers!$A$1:$A$1001,customers!$G$1:$G$1001)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4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_xlfn.XLOOKUP(orders!C253,customers!$A$1:$A$1001,customers!$G$1:$G$1001)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4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_xlfn.XLOOKUP(orders!C254,customers!$A$1:$A$1001,customers!$G$1:$G$1001)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4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_xlfn.XLOOKUP(orders!C255,customers!$A$1:$A$1001,customers!$G$1:$G$1001)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4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_xlfn.XLOOKUP(orders!C256,customers!$A$1:$A$1001,customers!$G$1:$G$1001)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4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_xlfn.XLOOKUP(orders!C257,customers!$A$1:$A$1001,customers!$G$1:$G$1001)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4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_xlfn.XLOOKUP(orders!C258,customers!$A$1:$A$1001,customers!$G$1:$G$1001)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4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_xlfn.XLOOKUP(orders!C259,customers!$A$1:$A$1001,customers!$G$1:$G$1001)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 "Excelsa",IF(I259="Ara","Arabica",IF(I259="Lib","Liberica",""))))</f>
        <v>Excelsa</v>
      </c>
      <c r="O259" t="str">
        <f t="shared" ref="O259:O322" si="14">IF(J259="M","Medium",IF(J259="L","Light",IF(J259="D","Dark","")))</f>
        <v>Dark</v>
      </c>
      <c r="P259" t="str">
        <f>_xlfn.XLOOKUP(Orders[[#This Row],[Customer ID]],customers!$A$1:$A$1001,customers!$I$1:$I$1001,,0)</f>
        <v>Yes</v>
      </c>
    </row>
    <row r="260" spans="1:16" x14ac:dyDescent="0.4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_xlfn.XLOOKUP(orders!C260,customers!$A$1:$A$1001,customers!$G$1:$G$1001)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4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_xlfn.XLOOKUP(orders!C261,customers!$A$1:$A$1001,customers!$G$1:$G$1001)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4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_xlfn.XLOOKUP(orders!C262,customers!$A$1:$A$1001,customers!$G$1:$G$1001)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4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_xlfn.XLOOKUP(orders!C263,customers!$A$1:$A$1001,customers!$G$1:$G$1001)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4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_xlfn.XLOOKUP(orders!C264,customers!$A$1:$A$1001,customers!$G$1:$G$1001)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4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_xlfn.XLOOKUP(orders!C265,customers!$A$1:$A$1001,customers!$G$1:$G$1001)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4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_xlfn.XLOOKUP(orders!C266,customers!$A$1:$A$1001,customers!$G$1:$G$1001)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4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_xlfn.XLOOKUP(orders!C267,customers!$A$1:$A$1001,customers!$G$1:$G$1001)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4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_xlfn.XLOOKUP(orders!C268,customers!$A$1:$A$1001,customers!$G$1:$G$1001)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4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_xlfn.XLOOKUP(orders!C269,customers!$A$1:$A$1001,customers!$G$1:$G$1001)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4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_xlfn.XLOOKUP(orders!C270,customers!$A$1:$A$1001,customers!$G$1:$G$1001)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4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_xlfn.XLOOKUP(orders!C271,customers!$A$1:$A$1001,customers!$G$1:$G$1001)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4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_xlfn.XLOOKUP(orders!C272,customers!$A$1:$A$1001,customers!$G$1:$G$1001)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4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_xlfn.XLOOKUP(orders!C273,customers!$A$1:$A$1001,customers!$G$1:$G$1001)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4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_xlfn.XLOOKUP(orders!C274,customers!$A$1:$A$1001,customers!$G$1:$G$1001)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4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_xlfn.XLOOKUP(orders!C275,customers!$A$1:$A$1001,customers!$G$1:$G$1001)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4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_xlfn.XLOOKUP(orders!C276,customers!$A$1:$A$1001,customers!$G$1:$G$1001)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4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_xlfn.XLOOKUP(orders!C277,customers!$A$1:$A$1001,customers!$G$1:$G$1001)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4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_xlfn.XLOOKUP(orders!C278,customers!$A$1:$A$1001,customers!$G$1:$G$1001)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4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_xlfn.XLOOKUP(orders!C279,customers!$A$1:$A$1001,customers!$G$1:$G$1001)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4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_xlfn.XLOOKUP(orders!C280,customers!$A$1:$A$1001,customers!$G$1:$G$1001)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4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_xlfn.XLOOKUP(orders!C281,customers!$A$1:$A$1001,customers!$G$1:$G$1001)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4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_xlfn.XLOOKUP(orders!C282,customers!$A$1:$A$1001,customers!$G$1:$G$1001)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4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_xlfn.XLOOKUP(orders!C283,customers!$A$1:$A$1001,customers!$G$1:$G$1001)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4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_xlfn.XLOOKUP(orders!C284,customers!$A$1:$A$1001,customers!$G$1:$G$1001)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4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_xlfn.XLOOKUP(orders!C285,customers!$A$1:$A$1001,customers!$G$1:$G$1001)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4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_xlfn.XLOOKUP(orders!C286,customers!$A$1:$A$1001,customers!$G$1:$G$1001)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4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_xlfn.XLOOKUP(orders!C287,customers!$A$1:$A$1001,customers!$G$1:$G$1001)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4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_xlfn.XLOOKUP(orders!C288,customers!$A$1:$A$1001,customers!$G$1:$G$1001)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4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_xlfn.XLOOKUP(orders!C289,customers!$A$1:$A$1001,customers!$G$1:$G$1001)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4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_xlfn.XLOOKUP(orders!C290,customers!$A$1:$A$1001,customers!$G$1:$G$1001)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4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_xlfn.XLOOKUP(orders!C291,customers!$A$1:$A$1001,customers!$G$1:$G$1001)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4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_xlfn.XLOOKUP(orders!C292,customers!$A$1:$A$1001,customers!$G$1:$G$1001)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4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_xlfn.XLOOKUP(orders!C293,customers!$A$1:$A$1001,customers!$G$1:$G$1001)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4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_xlfn.XLOOKUP(orders!C294,customers!$A$1:$A$1001,customers!$G$1:$G$1001)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4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_xlfn.XLOOKUP(orders!C295,customers!$A$1:$A$1001,customers!$G$1:$G$1001)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4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_xlfn.XLOOKUP(orders!C296,customers!$A$1:$A$1001,customers!$G$1:$G$1001)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4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_xlfn.XLOOKUP(orders!C297,customers!$A$1:$A$1001,customers!$G$1:$G$1001)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4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_xlfn.XLOOKUP(orders!C298,customers!$A$1:$A$1001,customers!$G$1:$G$1001)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4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_xlfn.XLOOKUP(orders!C299,customers!$A$1:$A$1001,customers!$G$1:$G$1001)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4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_xlfn.XLOOKUP(orders!C300,customers!$A$1:$A$1001,customers!$G$1:$G$1001)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4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_xlfn.XLOOKUP(orders!C301,customers!$A$1:$A$1001,customers!$G$1:$G$1001)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4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_xlfn.XLOOKUP(orders!C302,customers!$A$1:$A$1001,customers!$G$1:$G$1001)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4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_xlfn.XLOOKUP(orders!C303,customers!$A$1:$A$1001,customers!$G$1:$G$1001)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4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_xlfn.XLOOKUP(orders!C304,customers!$A$1:$A$1001,customers!$G$1:$G$1001)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4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_xlfn.XLOOKUP(orders!C305,customers!$A$1:$A$1001,customers!$G$1:$G$1001)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4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_xlfn.XLOOKUP(orders!C306,customers!$A$1:$A$1001,customers!$G$1:$G$1001)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4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_xlfn.XLOOKUP(orders!C307,customers!$A$1:$A$1001,customers!$G$1:$G$1001)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4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_xlfn.XLOOKUP(orders!C308,customers!$A$1:$A$1001,customers!$G$1:$G$1001)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4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_xlfn.XLOOKUP(orders!C309,customers!$A$1:$A$1001,customers!$G$1:$G$1001)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4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_xlfn.XLOOKUP(orders!C310,customers!$A$1:$A$1001,customers!$G$1:$G$1001)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4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_xlfn.XLOOKUP(orders!C311,customers!$A$1:$A$1001,customers!$G$1:$G$1001)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4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_xlfn.XLOOKUP(orders!C312,customers!$A$1:$A$1001,customers!$G$1:$G$1001)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4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_xlfn.XLOOKUP(orders!C313,customers!$A$1:$A$1001,customers!$G$1:$G$1001)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4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_xlfn.XLOOKUP(orders!C314,customers!$A$1:$A$1001,customers!$G$1:$G$1001)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4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_xlfn.XLOOKUP(orders!C315,customers!$A$1:$A$1001,customers!$G$1:$G$1001)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4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_xlfn.XLOOKUP(orders!C316,customers!$A$1:$A$1001,customers!$G$1:$G$1001)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4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_xlfn.XLOOKUP(orders!C317,customers!$A$1:$A$1001,customers!$G$1:$G$1001)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4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_xlfn.XLOOKUP(orders!C318,customers!$A$1:$A$1001,customers!$G$1:$G$1001)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4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_xlfn.XLOOKUP(orders!C319,customers!$A$1:$A$1001,customers!$G$1:$G$1001)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4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_xlfn.XLOOKUP(orders!C320,customers!$A$1:$A$1001,customers!$G$1:$G$1001)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4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_xlfn.XLOOKUP(orders!C321,customers!$A$1:$A$1001,customers!$G$1:$G$1001)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4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_xlfn.XLOOKUP(orders!C322,customers!$A$1:$A$1001,customers!$G$1:$G$1001)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4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_xlfn.XLOOKUP(orders!C323,customers!$A$1:$A$1001,customers!$G$1:$G$1001)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 "Excelsa",IF(I323="Ara","Arabica",IF(I323="Lib","Liberica",""))))</f>
        <v>Arabica</v>
      </c>
      <c r="O323" t="str">
        <f t="shared" ref="O323:O386" si="17">IF(J323="M","Medium",IF(J323="L","Light",IF(J323="D","Dark","")))</f>
        <v>Medium</v>
      </c>
      <c r="P323" t="str">
        <f>_xlfn.XLOOKUP(Orders[[#This Row],[Customer ID]],customers!$A$1:$A$1001,customers!$I$1:$I$1001,,0)</f>
        <v>Yes</v>
      </c>
    </row>
    <row r="324" spans="1:16" x14ac:dyDescent="0.4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_xlfn.XLOOKUP(orders!C324,customers!$A$1:$A$1001,customers!$G$1:$G$1001)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4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_xlfn.XLOOKUP(orders!C325,customers!$A$1:$A$1001,customers!$G$1:$G$1001)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4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_xlfn.XLOOKUP(orders!C326,customers!$A$1:$A$1001,customers!$G$1:$G$1001)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4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_xlfn.XLOOKUP(orders!C327,customers!$A$1:$A$1001,customers!$G$1:$G$1001)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4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_xlfn.XLOOKUP(orders!C328,customers!$A$1:$A$1001,customers!$G$1:$G$1001)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4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_xlfn.XLOOKUP(orders!C329,customers!$A$1:$A$1001,customers!$G$1:$G$1001)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4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_xlfn.XLOOKUP(orders!C330,customers!$A$1:$A$1001,customers!$G$1:$G$1001)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4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_xlfn.XLOOKUP(orders!C331,customers!$A$1:$A$1001,customers!$G$1:$G$1001)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4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_xlfn.XLOOKUP(orders!C332,customers!$A$1:$A$1001,customers!$G$1:$G$1001)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4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_xlfn.XLOOKUP(orders!C333,customers!$A$1:$A$1001,customers!$G$1:$G$1001)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4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_xlfn.XLOOKUP(orders!C334,customers!$A$1:$A$1001,customers!$G$1:$G$1001)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4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_xlfn.XLOOKUP(orders!C335,customers!$A$1:$A$1001,customers!$G$1:$G$1001)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4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_xlfn.XLOOKUP(orders!C336,customers!$A$1:$A$1001,customers!$G$1:$G$1001)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4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_xlfn.XLOOKUP(orders!C337,customers!$A$1:$A$1001,customers!$G$1:$G$1001)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4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_xlfn.XLOOKUP(orders!C338,customers!$A$1:$A$1001,customers!$G$1:$G$1001)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4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_xlfn.XLOOKUP(orders!C339,customers!$A$1:$A$1001,customers!$G$1:$G$1001)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4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_xlfn.XLOOKUP(orders!C340,customers!$A$1:$A$1001,customers!$G$1:$G$1001)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4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_xlfn.XLOOKUP(orders!C341,customers!$A$1:$A$1001,customers!$G$1:$G$1001)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4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_xlfn.XLOOKUP(orders!C342,customers!$A$1:$A$1001,customers!$G$1:$G$1001)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4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_xlfn.XLOOKUP(orders!C343,customers!$A$1:$A$1001,customers!$G$1:$G$1001)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4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_xlfn.XLOOKUP(orders!C344,customers!$A$1:$A$1001,customers!$G$1:$G$1001)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4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_xlfn.XLOOKUP(orders!C345,customers!$A$1:$A$1001,customers!$G$1:$G$1001)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4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_xlfn.XLOOKUP(orders!C346,customers!$A$1:$A$1001,customers!$G$1:$G$1001)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4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_xlfn.XLOOKUP(orders!C347,customers!$A$1:$A$1001,customers!$G$1:$G$1001)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4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_xlfn.XLOOKUP(orders!C348,customers!$A$1:$A$1001,customers!$G$1:$G$1001)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4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_xlfn.XLOOKUP(orders!C349,customers!$A$1:$A$1001,customers!$G$1:$G$1001)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4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_xlfn.XLOOKUP(orders!C350,customers!$A$1:$A$1001,customers!$G$1:$G$1001)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4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_xlfn.XLOOKUP(orders!C351,customers!$A$1:$A$1001,customers!$G$1:$G$1001)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4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_xlfn.XLOOKUP(orders!C352,customers!$A$1:$A$1001,customers!$G$1:$G$1001)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4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_xlfn.XLOOKUP(orders!C353,customers!$A$1:$A$1001,customers!$G$1:$G$1001)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4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_xlfn.XLOOKUP(orders!C354,customers!$A$1:$A$1001,customers!$G$1:$G$1001)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4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_xlfn.XLOOKUP(orders!C355,customers!$A$1:$A$1001,customers!$G$1:$G$1001)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4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_xlfn.XLOOKUP(orders!C356,customers!$A$1:$A$1001,customers!$G$1:$G$1001)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4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_xlfn.XLOOKUP(orders!C357,customers!$A$1:$A$1001,customers!$G$1:$G$1001)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4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_xlfn.XLOOKUP(orders!C358,customers!$A$1:$A$1001,customers!$G$1:$G$1001)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4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_xlfn.XLOOKUP(orders!C359,customers!$A$1:$A$1001,customers!$G$1:$G$1001)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4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_xlfn.XLOOKUP(orders!C360,customers!$A$1:$A$1001,customers!$G$1:$G$1001)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4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_xlfn.XLOOKUP(orders!C361,customers!$A$1:$A$1001,customers!$G$1:$G$1001)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4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_xlfn.XLOOKUP(orders!C362,customers!$A$1:$A$1001,customers!$G$1:$G$1001)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4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_xlfn.XLOOKUP(orders!C363,customers!$A$1:$A$1001,customers!$G$1:$G$1001)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4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_xlfn.XLOOKUP(orders!C364,customers!$A$1:$A$1001,customers!$G$1:$G$1001)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4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_xlfn.XLOOKUP(orders!C365,customers!$A$1:$A$1001,customers!$G$1:$G$1001)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4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_xlfn.XLOOKUP(orders!C366,customers!$A$1:$A$1001,customers!$G$1:$G$1001)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4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_xlfn.XLOOKUP(orders!C367,customers!$A$1:$A$1001,customers!$G$1:$G$1001)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4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_xlfn.XLOOKUP(orders!C368,customers!$A$1:$A$1001,customers!$G$1:$G$1001)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4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_xlfn.XLOOKUP(orders!C369,customers!$A$1:$A$1001,customers!$G$1:$G$1001)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4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_xlfn.XLOOKUP(orders!C370,customers!$A$1:$A$1001,customers!$G$1:$G$1001)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4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_xlfn.XLOOKUP(orders!C371,customers!$A$1:$A$1001,customers!$G$1:$G$1001)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4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_xlfn.XLOOKUP(orders!C372,customers!$A$1:$A$1001,customers!$G$1:$G$1001)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4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_xlfn.XLOOKUP(orders!C373,customers!$A$1:$A$1001,customers!$G$1:$G$1001)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4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_xlfn.XLOOKUP(orders!C374,customers!$A$1:$A$1001,customers!$G$1:$G$1001)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4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_xlfn.XLOOKUP(orders!C375,customers!$A$1:$A$1001,customers!$G$1:$G$1001)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4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_xlfn.XLOOKUP(orders!C376,customers!$A$1:$A$1001,customers!$G$1:$G$1001)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4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_xlfn.XLOOKUP(orders!C377,customers!$A$1:$A$1001,customers!$G$1:$G$1001)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4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_xlfn.XLOOKUP(orders!C378,customers!$A$1:$A$1001,customers!$G$1:$G$1001)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4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_xlfn.XLOOKUP(orders!C379,customers!$A$1:$A$1001,customers!$G$1:$G$1001)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4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_xlfn.XLOOKUP(orders!C380,customers!$A$1:$A$1001,customers!$G$1:$G$1001)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4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_xlfn.XLOOKUP(orders!C381,customers!$A$1:$A$1001,customers!$G$1:$G$1001)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4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_xlfn.XLOOKUP(orders!C382,customers!$A$1:$A$1001,customers!$G$1:$G$1001)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4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_xlfn.XLOOKUP(orders!C383,customers!$A$1:$A$1001,customers!$G$1:$G$1001)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4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_xlfn.XLOOKUP(orders!C384,customers!$A$1:$A$1001,customers!$G$1:$G$1001)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4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_xlfn.XLOOKUP(orders!C385,customers!$A$1:$A$1001,customers!$G$1:$G$1001)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4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_xlfn.XLOOKUP(orders!C386,customers!$A$1:$A$1001,customers!$G$1:$G$1001)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4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_xlfn.XLOOKUP(orders!C387,customers!$A$1:$A$1001,customers!$G$1:$G$1001)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 "Excelsa",IF(I387="Ara","Arabica",IF(I387="Lib","Liberica",""))))</f>
        <v>Liberica</v>
      </c>
      <c r="O387" t="str">
        <f t="shared" ref="O387:O450" si="20">IF(J387="M","Medium",IF(J387="L","Light",IF(J387="D","Dark","")))</f>
        <v>Medium</v>
      </c>
      <c r="P387" t="str">
        <f>_xlfn.XLOOKUP(Orders[[#This Row],[Customer ID]],customers!$A$1:$A$1001,customers!$I$1:$I$1001,,0)</f>
        <v>Yes</v>
      </c>
    </row>
    <row r="388" spans="1:16" x14ac:dyDescent="0.4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_xlfn.XLOOKUP(orders!C388,customers!$A$1:$A$1001,customers!$G$1:$G$1001)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4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_xlfn.XLOOKUP(orders!C389,customers!$A$1:$A$1001,customers!$G$1:$G$1001)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4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_xlfn.XLOOKUP(orders!C390,customers!$A$1:$A$1001,customers!$G$1:$G$1001)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4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_xlfn.XLOOKUP(orders!C391,customers!$A$1:$A$1001,customers!$G$1:$G$1001)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4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_xlfn.XLOOKUP(orders!C392,customers!$A$1:$A$1001,customers!$G$1:$G$1001)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4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_xlfn.XLOOKUP(orders!C393,customers!$A$1:$A$1001,customers!$G$1:$G$1001)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4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_xlfn.XLOOKUP(orders!C394,customers!$A$1:$A$1001,customers!$G$1:$G$1001)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4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_xlfn.XLOOKUP(orders!C395,customers!$A$1:$A$1001,customers!$G$1:$G$1001)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4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_xlfn.XLOOKUP(orders!C396,customers!$A$1:$A$1001,customers!$G$1:$G$1001)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4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_xlfn.XLOOKUP(orders!C397,customers!$A$1:$A$1001,customers!$G$1:$G$1001)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4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_xlfn.XLOOKUP(orders!C398,customers!$A$1:$A$1001,customers!$G$1:$G$1001)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4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_xlfn.XLOOKUP(orders!C399,customers!$A$1:$A$1001,customers!$G$1:$G$1001)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4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_xlfn.XLOOKUP(orders!C400,customers!$A$1:$A$1001,customers!$G$1:$G$1001)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4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_xlfn.XLOOKUP(orders!C401,customers!$A$1:$A$1001,customers!$G$1:$G$1001)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4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_xlfn.XLOOKUP(orders!C402,customers!$A$1:$A$1001,customers!$G$1:$G$1001)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4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_xlfn.XLOOKUP(orders!C403,customers!$A$1:$A$1001,customers!$G$1:$G$1001)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4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_xlfn.XLOOKUP(orders!C404,customers!$A$1:$A$1001,customers!$G$1:$G$1001)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4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_xlfn.XLOOKUP(orders!C405,customers!$A$1:$A$1001,customers!$G$1:$G$1001)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4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_xlfn.XLOOKUP(orders!C406,customers!$A$1:$A$1001,customers!$G$1:$G$1001)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4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_xlfn.XLOOKUP(orders!C407,customers!$A$1:$A$1001,customers!$G$1:$G$1001)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4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_xlfn.XLOOKUP(orders!C408,customers!$A$1:$A$1001,customers!$G$1:$G$1001)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4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_xlfn.XLOOKUP(orders!C409,customers!$A$1:$A$1001,customers!$G$1:$G$1001)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4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_xlfn.XLOOKUP(orders!C410,customers!$A$1:$A$1001,customers!$G$1:$G$1001)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4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_xlfn.XLOOKUP(orders!C411,customers!$A$1:$A$1001,customers!$G$1:$G$1001)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4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_xlfn.XLOOKUP(orders!C412,customers!$A$1:$A$1001,customers!$G$1:$G$1001)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4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_xlfn.XLOOKUP(orders!C413,customers!$A$1:$A$1001,customers!$G$1:$G$1001)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4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_xlfn.XLOOKUP(orders!C414,customers!$A$1:$A$1001,customers!$G$1:$G$1001)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4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_xlfn.XLOOKUP(orders!C415,customers!$A$1:$A$1001,customers!$G$1:$G$1001)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4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_xlfn.XLOOKUP(orders!C416,customers!$A$1:$A$1001,customers!$G$1:$G$1001)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4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_xlfn.XLOOKUP(orders!C417,customers!$A$1:$A$1001,customers!$G$1:$G$1001)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4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_xlfn.XLOOKUP(orders!C418,customers!$A$1:$A$1001,customers!$G$1:$G$1001)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4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_xlfn.XLOOKUP(orders!C419,customers!$A$1:$A$1001,customers!$G$1:$G$1001)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4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_xlfn.XLOOKUP(orders!C420,customers!$A$1:$A$1001,customers!$G$1:$G$1001)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4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_xlfn.XLOOKUP(orders!C421,customers!$A$1:$A$1001,customers!$G$1:$G$1001)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4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_xlfn.XLOOKUP(orders!C422,customers!$A$1:$A$1001,customers!$G$1:$G$1001)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4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_xlfn.XLOOKUP(orders!C423,customers!$A$1:$A$1001,customers!$G$1:$G$1001)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4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_xlfn.XLOOKUP(orders!C424,customers!$A$1:$A$1001,customers!$G$1:$G$1001)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4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_xlfn.XLOOKUP(orders!C425,customers!$A$1:$A$1001,customers!$G$1:$G$1001)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4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_xlfn.XLOOKUP(orders!C426,customers!$A$1:$A$1001,customers!$G$1:$G$1001)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4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_xlfn.XLOOKUP(orders!C427,customers!$A$1:$A$1001,customers!$G$1:$G$1001)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4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_xlfn.XLOOKUP(orders!C428,customers!$A$1:$A$1001,customers!$G$1:$G$1001)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4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_xlfn.XLOOKUP(orders!C429,customers!$A$1:$A$1001,customers!$G$1:$G$1001)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4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_xlfn.XLOOKUP(orders!C430,customers!$A$1:$A$1001,customers!$G$1:$G$1001)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4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_xlfn.XLOOKUP(orders!C431,customers!$A$1:$A$1001,customers!$G$1:$G$1001)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4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_xlfn.XLOOKUP(orders!C432,customers!$A$1:$A$1001,customers!$G$1:$G$1001)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4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_xlfn.XLOOKUP(orders!C433,customers!$A$1:$A$1001,customers!$G$1:$G$1001)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4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_xlfn.XLOOKUP(orders!C434,customers!$A$1:$A$1001,customers!$G$1:$G$1001)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4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_xlfn.XLOOKUP(orders!C435,customers!$A$1:$A$1001,customers!$G$1:$G$1001)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4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_xlfn.XLOOKUP(orders!C436,customers!$A$1:$A$1001,customers!$G$1:$G$1001)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4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_xlfn.XLOOKUP(orders!C437,customers!$A$1:$A$1001,customers!$G$1:$G$1001)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4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_xlfn.XLOOKUP(orders!C438,customers!$A$1:$A$1001,customers!$G$1:$G$1001)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4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_xlfn.XLOOKUP(orders!C439,customers!$A$1:$A$1001,customers!$G$1:$G$1001)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4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_xlfn.XLOOKUP(orders!C440,customers!$A$1:$A$1001,customers!$G$1:$G$1001)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4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_xlfn.XLOOKUP(orders!C441,customers!$A$1:$A$1001,customers!$G$1:$G$1001)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4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_xlfn.XLOOKUP(orders!C442,customers!$A$1:$A$1001,customers!$G$1:$G$1001)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4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_xlfn.XLOOKUP(orders!C443,customers!$A$1:$A$1001,customers!$G$1:$G$1001)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4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_xlfn.XLOOKUP(orders!C444,customers!$A$1:$A$1001,customers!$G$1:$G$1001)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4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_xlfn.XLOOKUP(orders!C445,customers!$A$1:$A$1001,customers!$G$1:$G$1001)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4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_xlfn.XLOOKUP(orders!C446,customers!$A$1:$A$1001,customers!$G$1:$G$1001)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4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_xlfn.XLOOKUP(orders!C447,customers!$A$1:$A$1001,customers!$G$1:$G$1001)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4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_xlfn.XLOOKUP(orders!C448,customers!$A$1:$A$1001,customers!$G$1:$G$1001)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4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_xlfn.XLOOKUP(orders!C449,customers!$A$1:$A$1001,customers!$G$1:$G$1001)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4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_xlfn.XLOOKUP(orders!C450,customers!$A$1:$A$1001,customers!$G$1:$G$1001)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4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_xlfn.XLOOKUP(orders!C451,customers!$A$1:$A$1001,customers!$G$1:$G$1001)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 "Excelsa",IF(I451="Ara","Arabica",IF(I451="Lib","Liberica",""))))</f>
        <v>Robusta</v>
      </c>
      <c r="O451" t="str">
        <f t="shared" ref="O451:O514" si="23">IF(J451="M","Medium",IF(J451="L","Light",IF(J451="D","Dark","")))</f>
        <v>Dark</v>
      </c>
      <c r="P451" t="str">
        <f>_xlfn.XLOOKUP(Orders[[#This Row],[Customer ID]],customers!$A$1:$A$1001,customers!$I$1:$I$1001,,0)</f>
        <v>No</v>
      </c>
    </row>
    <row r="452" spans="1:16" x14ac:dyDescent="0.4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_xlfn.XLOOKUP(orders!C452,customers!$A$1:$A$1001,customers!$G$1:$G$1001)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4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_xlfn.XLOOKUP(orders!C453,customers!$A$1:$A$1001,customers!$G$1:$G$1001)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4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_xlfn.XLOOKUP(orders!C454,customers!$A$1:$A$1001,customers!$G$1:$G$1001)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4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_xlfn.XLOOKUP(orders!C455,customers!$A$1:$A$1001,customers!$G$1:$G$1001)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4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_xlfn.XLOOKUP(orders!C456,customers!$A$1:$A$1001,customers!$G$1:$G$1001)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4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_xlfn.XLOOKUP(orders!C457,customers!$A$1:$A$1001,customers!$G$1:$G$1001)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4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_xlfn.XLOOKUP(orders!C458,customers!$A$1:$A$1001,customers!$G$1:$G$1001)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4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_xlfn.XLOOKUP(orders!C459,customers!$A$1:$A$1001,customers!$G$1:$G$1001)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4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_xlfn.XLOOKUP(orders!C460,customers!$A$1:$A$1001,customers!$G$1:$G$1001)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4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_xlfn.XLOOKUP(orders!C461,customers!$A$1:$A$1001,customers!$G$1:$G$1001)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4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_xlfn.XLOOKUP(orders!C462,customers!$A$1:$A$1001,customers!$G$1:$G$1001)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4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_xlfn.XLOOKUP(orders!C463,customers!$A$1:$A$1001,customers!$G$1:$G$1001)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4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_xlfn.XLOOKUP(orders!C464,customers!$A$1:$A$1001,customers!$G$1:$G$1001)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4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_xlfn.XLOOKUP(orders!C465,customers!$A$1:$A$1001,customers!$G$1:$G$1001)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4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_xlfn.XLOOKUP(orders!C466,customers!$A$1:$A$1001,customers!$G$1:$G$1001)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4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_xlfn.XLOOKUP(orders!C467,customers!$A$1:$A$1001,customers!$G$1:$G$1001)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4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_xlfn.XLOOKUP(orders!C468,customers!$A$1:$A$1001,customers!$G$1:$G$1001)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4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_xlfn.XLOOKUP(orders!C469,customers!$A$1:$A$1001,customers!$G$1:$G$1001)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4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_xlfn.XLOOKUP(orders!C470,customers!$A$1:$A$1001,customers!$G$1:$G$1001)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4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_xlfn.XLOOKUP(orders!C471,customers!$A$1:$A$1001,customers!$G$1:$G$1001)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4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_xlfn.XLOOKUP(orders!C472,customers!$A$1:$A$1001,customers!$G$1:$G$1001)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4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_xlfn.XLOOKUP(orders!C473,customers!$A$1:$A$1001,customers!$G$1:$G$1001)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4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_xlfn.XLOOKUP(orders!C474,customers!$A$1:$A$1001,customers!$G$1:$G$1001)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4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_xlfn.XLOOKUP(orders!C475,customers!$A$1:$A$1001,customers!$G$1:$G$1001)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4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_xlfn.XLOOKUP(orders!C476,customers!$A$1:$A$1001,customers!$G$1:$G$1001)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4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_xlfn.XLOOKUP(orders!C477,customers!$A$1:$A$1001,customers!$G$1:$G$1001)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4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_xlfn.XLOOKUP(orders!C478,customers!$A$1:$A$1001,customers!$G$1:$G$1001)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4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_xlfn.XLOOKUP(orders!C479,customers!$A$1:$A$1001,customers!$G$1:$G$1001)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4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_xlfn.XLOOKUP(orders!C480,customers!$A$1:$A$1001,customers!$G$1:$G$1001)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4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_xlfn.XLOOKUP(orders!C481,customers!$A$1:$A$1001,customers!$G$1:$G$1001)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4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_xlfn.XLOOKUP(orders!C482,customers!$A$1:$A$1001,customers!$G$1:$G$1001)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4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_xlfn.XLOOKUP(orders!C483,customers!$A$1:$A$1001,customers!$G$1:$G$1001)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4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_xlfn.XLOOKUP(orders!C484,customers!$A$1:$A$1001,customers!$G$1:$G$1001)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4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_xlfn.XLOOKUP(orders!C485,customers!$A$1:$A$1001,customers!$G$1:$G$1001)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4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_xlfn.XLOOKUP(orders!C486,customers!$A$1:$A$1001,customers!$G$1:$G$1001)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4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_xlfn.XLOOKUP(orders!C487,customers!$A$1:$A$1001,customers!$G$1:$G$1001)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4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_xlfn.XLOOKUP(orders!C488,customers!$A$1:$A$1001,customers!$G$1:$G$1001)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4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_xlfn.XLOOKUP(orders!C489,customers!$A$1:$A$1001,customers!$G$1:$G$1001)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4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_xlfn.XLOOKUP(orders!C490,customers!$A$1:$A$1001,customers!$G$1:$G$1001)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4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_xlfn.XLOOKUP(orders!C491,customers!$A$1:$A$1001,customers!$G$1:$G$1001)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4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_xlfn.XLOOKUP(orders!C492,customers!$A$1:$A$1001,customers!$G$1:$G$1001)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4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_xlfn.XLOOKUP(orders!C493,customers!$A$1:$A$1001,customers!$G$1:$G$1001)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4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_xlfn.XLOOKUP(orders!C494,customers!$A$1:$A$1001,customers!$G$1:$G$1001)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4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_xlfn.XLOOKUP(orders!C495,customers!$A$1:$A$1001,customers!$G$1:$G$1001)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4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_xlfn.XLOOKUP(orders!C496,customers!$A$1:$A$1001,customers!$G$1:$G$1001)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4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_xlfn.XLOOKUP(orders!C497,customers!$A$1:$A$1001,customers!$G$1:$G$1001)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4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_xlfn.XLOOKUP(orders!C498,customers!$A$1:$A$1001,customers!$G$1:$G$1001)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4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_xlfn.XLOOKUP(orders!C499,customers!$A$1:$A$1001,customers!$G$1:$G$1001)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4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_xlfn.XLOOKUP(orders!C500,customers!$A$1:$A$1001,customers!$G$1:$G$1001)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4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_xlfn.XLOOKUP(orders!C501,customers!$A$1:$A$1001,customers!$G$1:$G$1001)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4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_xlfn.XLOOKUP(orders!C502,customers!$A$1:$A$1001,customers!$G$1:$G$1001)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4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_xlfn.XLOOKUP(orders!C503,customers!$A$1:$A$1001,customers!$G$1:$G$1001)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4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_xlfn.XLOOKUP(orders!C504,customers!$A$1:$A$1001,customers!$G$1:$G$1001)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4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_xlfn.XLOOKUP(orders!C505,customers!$A$1:$A$1001,customers!$G$1:$G$1001)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4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_xlfn.XLOOKUP(orders!C506,customers!$A$1:$A$1001,customers!$G$1:$G$1001)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4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_xlfn.XLOOKUP(orders!C507,customers!$A$1:$A$1001,customers!$G$1:$G$1001)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4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_xlfn.XLOOKUP(orders!C508,customers!$A$1:$A$1001,customers!$G$1:$G$1001)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4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_xlfn.XLOOKUP(orders!C509,customers!$A$1:$A$1001,customers!$G$1:$G$1001)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4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_xlfn.XLOOKUP(orders!C510,customers!$A$1:$A$1001,customers!$G$1:$G$1001)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4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_xlfn.XLOOKUP(orders!C511,customers!$A$1:$A$1001,customers!$G$1:$G$1001)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4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_xlfn.XLOOKUP(orders!C512,customers!$A$1:$A$1001,customers!$G$1:$G$1001)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4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_xlfn.XLOOKUP(orders!C513,customers!$A$1:$A$1001,customers!$G$1:$G$1001)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4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_xlfn.XLOOKUP(orders!C514,customers!$A$1:$A$1001,customers!$G$1:$G$1001)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4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_xlfn.XLOOKUP(orders!C515,customers!$A$1:$A$1001,customers!$G$1:$G$1001)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 "Excelsa",IF(I515="Ara","Arabica",IF(I515="Lib","Liberica",""))))</f>
        <v>Liberica</v>
      </c>
      <c r="O515" t="str">
        <f t="shared" ref="O515:O578" si="26">IF(J515="M","Medium",IF(J515="L","Light",IF(J515="D","Dark","")))</f>
        <v>Light</v>
      </c>
      <c r="P515" t="str">
        <f>_xlfn.XLOOKUP(Orders[[#This Row],[Customer ID]],customers!$A$1:$A$1001,customers!$I$1:$I$1001,,0)</f>
        <v>No</v>
      </c>
    </row>
    <row r="516" spans="1:16" x14ac:dyDescent="0.4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_xlfn.XLOOKUP(orders!C516,customers!$A$1:$A$1001,customers!$G$1:$G$1001)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4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_xlfn.XLOOKUP(orders!C517,customers!$A$1:$A$1001,customers!$G$1:$G$1001)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4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_xlfn.XLOOKUP(orders!C518,customers!$A$1:$A$1001,customers!$G$1:$G$1001)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4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_xlfn.XLOOKUP(orders!C519,customers!$A$1:$A$1001,customers!$G$1:$G$1001)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4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_xlfn.XLOOKUP(orders!C520,customers!$A$1:$A$1001,customers!$G$1:$G$1001)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4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_xlfn.XLOOKUP(orders!C521,customers!$A$1:$A$1001,customers!$G$1:$G$1001)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4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_xlfn.XLOOKUP(orders!C522,customers!$A$1:$A$1001,customers!$G$1:$G$1001)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4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_xlfn.XLOOKUP(orders!C523,customers!$A$1:$A$1001,customers!$G$1:$G$1001)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4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_xlfn.XLOOKUP(orders!C524,customers!$A$1:$A$1001,customers!$G$1:$G$1001)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4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_xlfn.XLOOKUP(orders!C525,customers!$A$1:$A$1001,customers!$G$1:$G$1001)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4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_xlfn.XLOOKUP(orders!C526,customers!$A$1:$A$1001,customers!$G$1:$G$1001)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4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_xlfn.XLOOKUP(orders!C527,customers!$A$1:$A$1001,customers!$G$1:$G$1001)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4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_xlfn.XLOOKUP(orders!C528,customers!$A$1:$A$1001,customers!$G$1:$G$1001)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4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_xlfn.XLOOKUP(orders!C529,customers!$A$1:$A$1001,customers!$G$1:$G$1001)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4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_xlfn.XLOOKUP(orders!C530,customers!$A$1:$A$1001,customers!$G$1:$G$1001)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4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_xlfn.XLOOKUP(orders!C531,customers!$A$1:$A$1001,customers!$G$1:$G$1001)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4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_xlfn.XLOOKUP(orders!C532,customers!$A$1:$A$1001,customers!$G$1:$G$1001)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4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_xlfn.XLOOKUP(orders!C533,customers!$A$1:$A$1001,customers!$G$1:$G$1001)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4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_xlfn.XLOOKUP(orders!C534,customers!$A$1:$A$1001,customers!$G$1:$G$1001)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4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_xlfn.XLOOKUP(orders!C535,customers!$A$1:$A$1001,customers!$G$1:$G$1001)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4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_xlfn.XLOOKUP(orders!C536,customers!$A$1:$A$1001,customers!$G$1:$G$1001)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4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_xlfn.XLOOKUP(orders!C537,customers!$A$1:$A$1001,customers!$G$1:$G$1001)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4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_xlfn.XLOOKUP(orders!C538,customers!$A$1:$A$1001,customers!$G$1:$G$1001)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4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_xlfn.XLOOKUP(orders!C539,customers!$A$1:$A$1001,customers!$G$1:$G$1001)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4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_xlfn.XLOOKUP(orders!C540,customers!$A$1:$A$1001,customers!$G$1:$G$1001)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4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_xlfn.XLOOKUP(orders!C541,customers!$A$1:$A$1001,customers!$G$1:$G$1001)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4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_xlfn.XLOOKUP(orders!C542,customers!$A$1:$A$1001,customers!$G$1:$G$1001)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4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_xlfn.XLOOKUP(orders!C543,customers!$A$1:$A$1001,customers!$G$1:$G$1001)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4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_xlfn.XLOOKUP(orders!C544,customers!$A$1:$A$1001,customers!$G$1:$G$1001)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4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_xlfn.XLOOKUP(orders!C545,customers!$A$1:$A$1001,customers!$G$1:$G$1001)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4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_xlfn.XLOOKUP(orders!C546,customers!$A$1:$A$1001,customers!$G$1:$G$1001)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4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_xlfn.XLOOKUP(orders!C547,customers!$A$1:$A$1001,customers!$G$1:$G$1001)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4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_xlfn.XLOOKUP(orders!C548,customers!$A$1:$A$1001,customers!$G$1:$G$1001)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4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_xlfn.XLOOKUP(orders!C549,customers!$A$1:$A$1001,customers!$G$1:$G$1001)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4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_xlfn.XLOOKUP(orders!C550,customers!$A$1:$A$1001,customers!$G$1:$G$1001)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4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_xlfn.XLOOKUP(orders!C551,customers!$A$1:$A$1001,customers!$G$1:$G$1001)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4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_xlfn.XLOOKUP(orders!C552,customers!$A$1:$A$1001,customers!$G$1:$G$1001)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4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_xlfn.XLOOKUP(orders!C553,customers!$A$1:$A$1001,customers!$G$1:$G$1001)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4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_xlfn.XLOOKUP(orders!C554,customers!$A$1:$A$1001,customers!$G$1:$G$1001)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4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_xlfn.XLOOKUP(orders!C555,customers!$A$1:$A$1001,customers!$G$1:$G$1001)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4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_xlfn.XLOOKUP(orders!C556,customers!$A$1:$A$1001,customers!$G$1:$G$1001)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4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_xlfn.XLOOKUP(orders!C557,customers!$A$1:$A$1001,customers!$G$1:$G$1001)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4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_xlfn.XLOOKUP(orders!C558,customers!$A$1:$A$1001,customers!$G$1:$G$1001)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4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_xlfn.XLOOKUP(orders!C559,customers!$A$1:$A$1001,customers!$G$1:$G$1001)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4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_xlfn.XLOOKUP(orders!C560,customers!$A$1:$A$1001,customers!$G$1:$G$1001)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4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_xlfn.XLOOKUP(orders!C561,customers!$A$1:$A$1001,customers!$G$1:$G$1001)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4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_xlfn.XLOOKUP(orders!C562,customers!$A$1:$A$1001,customers!$G$1:$G$1001)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4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_xlfn.XLOOKUP(orders!C563,customers!$A$1:$A$1001,customers!$G$1:$G$1001)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4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_xlfn.XLOOKUP(orders!C564,customers!$A$1:$A$1001,customers!$G$1:$G$1001)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4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_xlfn.XLOOKUP(orders!C565,customers!$A$1:$A$1001,customers!$G$1:$G$1001)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4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_xlfn.XLOOKUP(orders!C566,customers!$A$1:$A$1001,customers!$G$1:$G$1001)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4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_xlfn.XLOOKUP(orders!C567,customers!$A$1:$A$1001,customers!$G$1:$G$1001)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4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_xlfn.XLOOKUP(orders!C568,customers!$A$1:$A$1001,customers!$G$1:$G$1001)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4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_xlfn.XLOOKUP(orders!C569,customers!$A$1:$A$1001,customers!$G$1:$G$1001)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4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_xlfn.XLOOKUP(orders!C570,customers!$A$1:$A$1001,customers!$G$1:$G$1001)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4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_xlfn.XLOOKUP(orders!C571,customers!$A$1:$A$1001,customers!$G$1:$G$1001)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4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_xlfn.XLOOKUP(orders!C572,customers!$A$1:$A$1001,customers!$G$1:$G$1001)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4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_xlfn.XLOOKUP(orders!C573,customers!$A$1:$A$1001,customers!$G$1:$G$1001)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4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_xlfn.XLOOKUP(orders!C574,customers!$A$1:$A$1001,customers!$G$1:$G$1001)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4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_xlfn.XLOOKUP(orders!C575,customers!$A$1:$A$1001,customers!$G$1:$G$1001)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4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_xlfn.XLOOKUP(orders!C576,customers!$A$1:$A$1001,customers!$G$1:$G$1001)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4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_xlfn.XLOOKUP(orders!C577,customers!$A$1:$A$1001,customers!$G$1:$G$1001)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4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_xlfn.XLOOKUP(orders!C578,customers!$A$1:$A$1001,customers!$G$1:$G$1001)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4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_xlfn.XLOOKUP(orders!C579,customers!$A$1:$A$1001,customers!$G$1:$G$1001)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 "Excelsa",IF(I579="Ara","Arabica",IF(I579="Lib","Liberica",""))))</f>
        <v>Liberica</v>
      </c>
      <c r="O579" t="str">
        <f t="shared" ref="O579:O642" si="29">IF(J579="M","Medium",IF(J579="L","Light",IF(J579="D","Dark","")))</f>
        <v>Medium</v>
      </c>
      <c r="P579" t="str">
        <f>_xlfn.XLOOKUP(Orders[[#This Row],[Customer ID]],customers!$A$1:$A$1001,customers!$I$1:$I$1001,,0)</f>
        <v>No</v>
      </c>
    </row>
    <row r="580" spans="1:16" x14ac:dyDescent="0.4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_xlfn.XLOOKUP(orders!C580,customers!$A$1:$A$1001,customers!$G$1:$G$1001)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4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_xlfn.XLOOKUP(orders!C581,customers!$A$1:$A$1001,customers!$G$1:$G$1001)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4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_xlfn.XLOOKUP(orders!C582,customers!$A$1:$A$1001,customers!$G$1:$G$1001)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4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_xlfn.XLOOKUP(orders!C583,customers!$A$1:$A$1001,customers!$G$1:$G$1001)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4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_xlfn.XLOOKUP(orders!C584,customers!$A$1:$A$1001,customers!$G$1:$G$1001)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4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_xlfn.XLOOKUP(orders!C585,customers!$A$1:$A$1001,customers!$G$1:$G$1001)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4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_xlfn.XLOOKUP(orders!C586,customers!$A$1:$A$1001,customers!$G$1:$G$1001)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4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_xlfn.XLOOKUP(orders!C587,customers!$A$1:$A$1001,customers!$G$1:$G$1001)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4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_xlfn.XLOOKUP(orders!C588,customers!$A$1:$A$1001,customers!$G$1:$G$1001)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4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_xlfn.XLOOKUP(orders!C589,customers!$A$1:$A$1001,customers!$G$1:$G$1001)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4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_xlfn.XLOOKUP(orders!C590,customers!$A$1:$A$1001,customers!$G$1:$G$1001)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4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_xlfn.XLOOKUP(orders!C591,customers!$A$1:$A$1001,customers!$G$1:$G$1001)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4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_xlfn.XLOOKUP(orders!C592,customers!$A$1:$A$1001,customers!$G$1:$G$1001)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4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_xlfn.XLOOKUP(orders!C593,customers!$A$1:$A$1001,customers!$G$1:$G$1001)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4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_xlfn.XLOOKUP(orders!C594,customers!$A$1:$A$1001,customers!$G$1:$G$1001)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4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_xlfn.XLOOKUP(orders!C595,customers!$A$1:$A$1001,customers!$G$1:$G$1001)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4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_xlfn.XLOOKUP(orders!C596,customers!$A$1:$A$1001,customers!$G$1:$G$1001)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4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_xlfn.XLOOKUP(orders!C597,customers!$A$1:$A$1001,customers!$G$1:$G$1001)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4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_xlfn.XLOOKUP(orders!C598,customers!$A$1:$A$1001,customers!$G$1:$G$1001)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4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_xlfn.XLOOKUP(orders!C599,customers!$A$1:$A$1001,customers!$G$1:$G$1001)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4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_xlfn.XLOOKUP(orders!C600,customers!$A$1:$A$1001,customers!$G$1:$G$1001)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4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_xlfn.XLOOKUP(orders!C601,customers!$A$1:$A$1001,customers!$G$1:$G$1001)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4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_xlfn.XLOOKUP(orders!C602,customers!$A$1:$A$1001,customers!$G$1:$G$1001)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4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_xlfn.XLOOKUP(orders!C603,customers!$A$1:$A$1001,customers!$G$1:$G$1001)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4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_xlfn.XLOOKUP(orders!C604,customers!$A$1:$A$1001,customers!$G$1:$G$1001)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4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_xlfn.XLOOKUP(orders!C605,customers!$A$1:$A$1001,customers!$G$1:$G$1001)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4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_xlfn.XLOOKUP(orders!C606,customers!$A$1:$A$1001,customers!$G$1:$G$1001)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4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_xlfn.XLOOKUP(orders!C607,customers!$A$1:$A$1001,customers!$G$1:$G$1001)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4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_xlfn.XLOOKUP(orders!C608,customers!$A$1:$A$1001,customers!$G$1:$G$1001)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4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_xlfn.XLOOKUP(orders!C609,customers!$A$1:$A$1001,customers!$G$1:$G$1001)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4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_xlfn.XLOOKUP(orders!C610,customers!$A$1:$A$1001,customers!$G$1:$G$1001)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4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_xlfn.XLOOKUP(orders!C611,customers!$A$1:$A$1001,customers!$G$1:$G$1001)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4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_xlfn.XLOOKUP(orders!C612,customers!$A$1:$A$1001,customers!$G$1:$G$1001)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4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_xlfn.XLOOKUP(orders!C613,customers!$A$1:$A$1001,customers!$G$1:$G$1001)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4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_xlfn.XLOOKUP(orders!C614,customers!$A$1:$A$1001,customers!$G$1:$G$1001)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4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_xlfn.XLOOKUP(orders!C615,customers!$A$1:$A$1001,customers!$G$1:$G$1001)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4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_xlfn.XLOOKUP(orders!C616,customers!$A$1:$A$1001,customers!$G$1:$G$1001)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4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_xlfn.XLOOKUP(orders!C617,customers!$A$1:$A$1001,customers!$G$1:$G$1001)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4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_xlfn.XLOOKUP(orders!C618,customers!$A$1:$A$1001,customers!$G$1:$G$1001)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4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_xlfn.XLOOKUP(orders!C619,customers!$A$1:$A$1001,customers!$G$1:$G$1001)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4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_xlfn.XLOOKUP(orders!C620,customers!$A$1:$A$1001,customers!$G$1:$G$1001)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4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_xlfn.XLOOKUP(orders!C621,customers!$A$1:$A$1001,customers!$G$1:$G$1001)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4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_xlfn.XLOOKUP(orders!C622,customers!$A$1:$A$1001,customers!$G$1:$G$1001)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4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_xlfn.XLOOKUP(orders!C623,customers!$A$1:$A$1001,customers!$G$1:$G$1001)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4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_xlfn.XLOOKUP(orders!C624,customers!$A$1:$A$1001,customers!$G$1:$G$1001)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4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_xlfn.XLOOKUP(orders!C625,customers!$A$1:$A$1001,customers!$G$1:$G$1001)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4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_xlfn.XLOOKUP(orders!C626,customers!$A$1:$A$1001,customers!$G$1:$G$1001)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4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_xlfn.XLOOKUP(orders!C627,customers!$A$1:$A$1001,customers!$G$1:$G$1001)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4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_xlfn.XLOOKUP(orders!C628,customers!$A$1:$A$1001,customers!$G$1:$G$1001)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4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_xlfn.XLOOKUP(orders!C629,customers!$A$1:$A$1001,customers!$G$1:$G$1001)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4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_xlfn.XLOOKUP(orders!C630,customers!$A$1:$A$1001,customers!$G$1:$G$1001)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4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_xlfn.XLOOKUP(orders!C631,customers!$A$1:$A$1001,customers!$G$1:$G$1001)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4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_xlfn.XLOOKUP(orders!C632,customers!$A$1:$A$1001,customers!$G$1:$G$1001)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4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_xlfn.XLOOKUP(orders!C633,customers!$A$1:$A$1001,customers!$G$1:$G$1001)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4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_xlfn.XLOOKUP(orders!C634,customers!$A$1:$A$1001,customers!$G$1:$G$1001)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4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_xlfn.XLOOKUP(orders!C635,customers!$A$1:$A$1001,customers!$G$1:$G$1001)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4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_xlfn.XLOOKUP(orders!C636,customers!$A$1:$A$1001,customers!$G$1:$G$1001)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4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_xlfn.XLOOKUP(orders!C637,customers!$A$1:$A$1001,customers!$G$1:$G$1001)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4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_xlfn.XLOOKUP(orders!C638,customers!$A$1:$A$1001,customers!$G$1:$G$1001)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4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_xlfn.XLOOKUP(orders!C639,customers!$A$1:$A$1001,customers!$G$1:$G$1001)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4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_xlfn.XLOOKUP(orders!C640,customers!$A$1:$A$1001,customers!$G$1:$G$1001)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4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_xlfn.XLOOKUP(orders!C641,customers!$A$1:$A$1001,customers!$G$1:$G$1001)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4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_xlfn.XLOOKUP(orders!C642,customers!$A$1:$A$1001,customers!$G$1:$G$1001)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4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_xlfn.XLOOKUP(orders!C643,customers!$A$1:$A$1001,customers!$G$1:$G$1001)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 "Excelsa",IF(I643="Ara","Arabica",IF(I643="Lib","Liberica",""))))</f>
        <v>Robusta</v>
      </c>
      <c r="O643" t="str">
        <f t="shared" ref="O643:O706" si="32">IF(J643="M","Medium",IF(J643="L","Light",IF(J643="D","Dark","")))</f>
        <v>Light</v>
      </c>
      <c r="P643" t="str">
        <f>_xlfn.XLOOKUP(Orders[[#This Row],[Customer ID]],customers!$A$1:$A$1001,customers!$I$1:$I$1001,,0)</f>
        <v>Yes</v>
      </c>
    </row>
    <row r="644" spans="1:16" x14ac:dyDescent="0.4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_xlfn.XLOOKUP(orders!C644,customers!$A$1:$A$1001,customers!$G$1:$G$1001)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4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_xlfn.XLOOKUP(orders!C645,customers!$A$1:$A$1001,customers!$G$1:$G$1001)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4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_xlfn.XLOOKUP(orders!C646,customers!$A$1:$A$1001,customers!$G$1:$G$1001)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4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_xlfn.XLOOKUP(orders!C647,customers!$A$1:$A$1001,customers!$G$1:$G$1001)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4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_xlfn.XLOOKUP(orders!C648,customers!$A$1:$A$1001,customers!$G$1:$G$1001)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4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_xlfn.XLOOKUP(orders!C649,customers!$A$1:$A$1001,customers!$G$1:$G$1001)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4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_xlfn.XLOOKUP(orders!C650,customers!$A$1:$A$1001,customers!$G$1:$G$1001)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4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_xlfn.XLOOKUP(orders!C651,customers!$A$1:$A$1001,customers!$G$1:$G$1001)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4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_xlfn.XLOOKUP(orders!C652,customers!$A$1:$A$1001,customers!$G$1:$G$1001)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4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_xlfn.XLOOKUP(orders!C653,customers!$A$1:$A$1001,customers!$G$1:$G$1001)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4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_xlfn.XLOOKUP(orders!C654,customers!$A$1:$A$1001,customers!$G$1:$G$1001)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4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_xlfn.XLOOKUP(orders!C655,customers!$A$1:$A$1001,customers!$G$1:$G$1001)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4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_xlfn.XLOOKUP(orders!C656,customers!$A$1:$A$1001,customers!$G$1:$G$1001)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4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_xlfn.XLOOKUP(orders!C657,customers!$A$1:$A$1001,customers!$G$1:$G$1001)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4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_xlfn.XLOOKUP(orders!C658,customers!$A$1:$A$1001,customers!$G$1:$G$1001)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4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_xlfn.XLOOKUP(orders!C659,customers!$A$1:$A$1001,customers!$G$1:$G$1001)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4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_xlfn.XLOOKUP(orders!C660,customers!$A$1:$A$1001,customers!$G$1:$G$1001)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4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_xlfn.XLOOKUP(orders!C661,customers!$A$1:$A$1001,customers!$G$1:$G$1001)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4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_xlfn.XLOOKUP(orders!C662,customers!$A$1:$A$1001,customers!$G$1:$G$1001)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4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_xlfn.XLOOKUP(orders!C663,customers!$A$1:$A$1001,customers!$G$1:$G$1001)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4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_xlfn.XLOOKUP(orders!C664,customers!$A$1:$A$1001,customers!$G$1:$G$1001)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4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_xlfn.XLOOKUP(orders!C665,customers!$A$1:$A$1001,customers!$G$1:$G$1001)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4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_xlfn.XLOOKUP(orders!C666,customers!$A$1:$A$1001,customers!$G$1:$G$1001)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4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_xlfn.XLOOKUP(orders!C667,customers!$A$1:$A$1001,customers!$G$1:$G$1001)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4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_xlfn.XLOOKUP(orders!C668,customers!$A$1:$A$1001,customers!$G$1:$G$1001)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4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_xlfn.XLOOKUP(orders!C669,customers!$A$1:$A$1001,customers!$G$1:$G$1001)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4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_xlfn.XLOOKUP(orders!C670,customers!$A$1:$A$1001,customers!$G$1:$G$1001)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4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_xlfn.XLOOKUP(orders!C671,customers!$A$1:$A$1001,customers!$G$1:$G$1001)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4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_xlfn.XLOOKUP(orders!C672,customers!$A$1:$A$1001,customers!$G$1:$G$1001)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4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_xlfn.XLOOKUP(orders!C673,customers!$A$1:$A$1001,customers!$G$1:$G$1001)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4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_xlfn.XLOOKUP(orders!C674,customers!$A$1:$A$1001,customers!$G$1:$G$1001)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4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_xlfn.XLOOKUP(orders!C675,customers!$A$1:$A$1001,customers!$G$1:$G$1001)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4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_xlfn.XLOOKUP(orders!C676,customers!$A$1:$A$1001,customers!$G$1:$G$1001)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4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_xlfn.XLOOKUP(orders!C677,customers!$A$1:$A$1001,customers!$G$1:$G$1001)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4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_xlfn.XLOOKUP(orders!C678,customers!$A$1:$A$1001,customers!$G$1:$G$1001)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4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_xlfn.XLOOKUP(orders!C679,customers!$A$1:$A$1001,customers!$G$1:$G$1001)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4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_xlfn.XLOOKUP(orders!C680,customers!$A$1:$A$1001,customers!$G$1:$G$1001)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4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_xlfn.XLOOKUP(orders!C681,customers!$A$1:$A$1001,customers!$G$1:$G$1001)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4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_xlfn.XLOOKUP(orders!C682,customers!$A$1:$A$1001,customers!$G$1:$G$1001)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4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_xlfn.XLOOKUP(orders!C683,customers!$A$1:$A$1001,customers!$G$1:$G$1001)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4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_xlfn.XLOOKUP(orders!C684,customers!$A$1:$A$1001,customers!$G$1:$G$1001)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4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_xlfn.XLOOKUP(orders!C685,customers!$A$1:$A$1001,customers!$G$1:$G$1001)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4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_xlfn.XLOOKUP(orders!C686,customers!$A$1:$A$1001,customers!$G$1:$G$1001)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4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_xlfn.XLOOKUP(orders!C687,customers!$A$1:$A$1001,customers!$G$1:$G$1001)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4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_xlfn.XLOOKUP(orders!C688,customers!$A$1:$A$1001,customers!$G$1:$G$1001)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4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_xlfn.XLOOKUP(orders!C689,customers!$A$1:$A$1001,customers!$G$1:$G$1001)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4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_xlfn.XLOOKUP(orders!C690,customers!$A$1:$A$1001,customers!$G$1:$G$1001)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4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_xlfn.XLOOKUP(orders!C691,customers!$A$1:$A$1001,customers!$G$1:$G$1001)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4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_xlfn.XLOOKUP(orders!C692,customers!$A$1:$A$1001,customers!$G$1:$G$1001)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4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_xlfn.XLOOKUP(orders!C693,customers!$A$1:$A$1001,customers!$G$1:$G$1001)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4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_xlfn.XLOOKUP(orders!C694,customers!$A$1:$A$1001,customers!$G$1:$G$1001)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4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_xlfn.XLOOKUP(orders!C695,customers!$A$1:$A$1001,customers!$G$1:$G$1001)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4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_xlfn.XLOOKUP(orders!C696,customers!$A$1:$A$1001,customers!$G$1:$G$1001)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4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_xlfn.XLOOKUP(orders!C697,customers!$A$1:$A$1001,customers!$G$1:$G$1001)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4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_xlfn.XLOOKUP(orders!C698,customers!$A$1:$A$1001,customers!$G$1:$G$1001)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4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_xlfn.XLOOKUP(orders!C699,customers!$A$1:$A$1001,customers!$G$1:$G$1001)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4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_xlfn.XLOOKUP(orders!C700,customers!$A$1:$A$1001,customers!$G$1:$G$1001)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4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_xlfn.XLOOKUP(orders!C701,customers!$A$1:$A$1001,customers!$G$1:$G$1001)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4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_xlfn.XLOOKUP(orders!C702,customers!$A$1:$A$1001,customers!$G$1:$G$1001)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4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_xlfn.XLOOKUP(orders!C703,customers!$A$1:$A$1001,customers!$G$1:$G$1001)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4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_xlfn.XLOOKUP(orders!C704,customers!$A$1:$A$1001,customers!$G$1:$G$1001)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4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_xlfn.XLOOKUP(orders!C705,customers!$A$1:$A$1001,customers!$G$1:$G$1001)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4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_xlfn.XLOOKUP(orders!C706,customers!$A$1:$A$1001,customers!$G$1:$G$1001)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4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_xlfn.XLOOKUP(orders!C707,customers!$A$1:$A$1001,customers!$G$1:$G$1001)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 "Excelsa",IF(I707="Ara","Arabica",IF(I707="Lib","Liberica",""))))</f>
        <v>Excelsa</v>
      </c>
      <c r="O707" t="str">
        <f t="shared" ref="O707:O770" si="35">IF(J707="M","Medium",IF(J707="L","Light",IF(J707="D","Dark","")))</f>
        <v>Light</v>
      </c>
      <c r="P707" t="str">
        <f>_xlfn.XLOOKUP(Orders[[#This Row],[Customer ID]],customers!$A$1:$A$1001,customers!$I$1:$I$1001,,0)</f>
        <v>No</v>
      </c>
    </row>
    <row r="708" spans="1:16" x14ac:dyDescent="0.4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_xlfn.XLOOKUP(orders!C708,customers!$A$1:$A$1001,customers!$G$1:$G$1001)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4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_xlfn.XLOOKUP(orders!C709,customers!$A$1:$A$1001,customers!$G$1:$G$1001)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4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_xlfn.XLOOKUP(orders!C710,customers!$A$1:$A$1001,customers!$G$1:$G$1001)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4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_xlfn.XLOOKUP(orders!C711,customers!$A$1:$A$1001,customers!$G$1:$G$1001)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4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_xlfn.XLOOKUP(orders!C712,customers!$A$1:$A$1001,customers!$G$1:$G$1001)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4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_xlfn.XLOOKUP(orders!C713,customers!$A$1:$A$1001,customers!$G$1:$G$1001)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4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_xlfn.XLOOKUP(orders!C714,customers!$A$1:$A$1001,customers!$G$1:$G$1001)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4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_xlfn.XLOOKUP(orders!C715,customers!$A$1:$A$1001,customers!$G$1:$G$1001)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4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_xlfn.XLOOKUP(orders!C716,customers!$A$1:$A$1001,customers!$G$1:$G$1001)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4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_xlfn.XLOOKUP(orders!C717,customers!$A$1:$A$1001,customers!$G$1:$G$1001)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4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_xlfn.XLOOKUP(orders!C718,customers!$A$1:$A$1001,customers!$G$1:$G$1001)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4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_xlfn.XLOOKUP(orders!C719,customers!$A$1:$A$1001,customers!$G$1:$G$1001)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4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_xlfn.XLOOKUP(orders!C720,customers!$A$1:$A$1001,customers!$G$1:$G$1001)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4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_xlfn.XLOOKUP(orders!C721,customers!$A$1:$A$1001,customers!$G$1:$G$1001)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4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_xlfn.XLOOKUP(orders!C722,customers!$A$1:$A$1001,customers!$G$1:$G$1001)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4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_xlfn.XLOOKUP(orders!C723,customers!$A$1:$A$1001,customers!$G$1:$G$1001)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4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_xlfn.XLOOKUP(orders!C724,customers!$A$1:$A$1001,customers!$G$1:$G$1001)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4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_xlfn.XLOOKUP(orders!C725,customers!$A$1:$A$1001,customers!$G$1:$G$1001)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4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_xlfn.XLOOKUP(orders!C726,customers!$A$1:$A$1001,customers!$G$1:$G$1001)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4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_xlfn.XLOOKUP(orders!C727,customers!$A$1:$A$1001,customers!$G$1:$G$1001)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4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_xlfn.XLOOKUP(orders!C728,customers!$A$1:$A$1001,customers!$G$1:$G$1001)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4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_xlfn.XLOOKUP(orders!C729,customers!$A$1:$A$1001,customers!$G$1:$G$1001)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4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_xlfn.XLOOKUP(orders!C730,customers!$A$1:$A$1001,customers!$G$1:$G$1001)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4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_xlfn.XLOOKUP(orders!C731,customers!$A$1:$A$1001,customers!$G$1:$G$1001)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4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_xlfn.XLOOKUP(orders!C732,customers!$A$1:$A$1001,customers!$G$1:$G$1001)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4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_xlfn.XLOOKUP(orders!C733,customers!$A$1:$A$1001,customers!$G$1:$G$1001)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4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_xlfn.XLOOKUP(orders!C734,customers!$A$1:$A$1001,customers!$G$1:$G$1001)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4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_xlfn.XLOOKUP(orders!C735,customers!$A$1:$A$1001,customers!$G$1:$G$1001)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4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_xlfn.XLOOKUP(orders!C736,customers!$A$1:$A$1001,customers!$G$1:$G$1001)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4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_xlfn.XLOOKUP(orders!C737,customers!$A$1:$A$1001,customers!$G$1:$G$1001)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4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_xlfn.XLOOKUP(orders!C738,customers!$A$1:$A$1001,customers!$G$1:$G$1001)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4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_xlfn.XLOOKUP(orders!C739,customers!$A$1:$A$1001,customers!$G$1:$G$1001)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4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_xlfn.XLOOKUP(orders!C740,customers!$A$1:$A$1001,customers!$G$1:$G$1001)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4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_xlfn.XLOOKUP(orders!C741,customers!$A$1:$A$1001,customers!$G$1:$G$1001)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4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_xlfn.XLOOKUP(orders!C742,customers!$A$1:$A$1001,customers!$G$1:$G$1001)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4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_xlfn.XLOOKUP(orders!C743,customers!$A$1:$A$1001,customers!$G$1:$G$1001)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4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_xlfn.XLOOKUP(orders!C744,customers!$A$1:$A$1001,customers!$G$1:$G$1001)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4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_xlfn.XLOOKUP(orders!C745,customers!$A$1:$A$1001,customers!$G$1:$G$1001)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4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_xlfn.XLOOKUP(orders!C746,customers!$A$1:$A$1001,customers!$G$1:$G$1001)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4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_xlfn.XLOOKUP(orders!C747,customers!$A$1:$A$1001,customers!$G$1:$G$1001)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4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_xlfn.XLOOKUP(orders!C748,customers!$A$1:$A$1001,customers!$G$1:$G$1001)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4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_xlfn.XLOOKUP(orders!C749,customers!$A$1:$A$1001,customers!$G$1:$G$1001)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4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_xlfn.XLOOKUP(orders!C750,customers!$A$1:$A$1001,customers!$G$1:$G$1001)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4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_xlfn.XLOOKUP(orders!C751,customers!$A$1:$A$1001,customers!$G$1:$G$1001)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4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_xlfn.XLOOKUP(orders!C752,customers!$A$1:$A$1001,customers!$G$1:$G$1001)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4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_xlfn.XLOOKUP(orders!C753,customers!$A$1:$A$1001,customers!$G$1:$G$1001)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4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_xlfn.XLOOKUP(orders!C754,customers!$A$1:$A$1001,customers!$G$1:$G$1001)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4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_xlfn.XLOOKUP(orders!C755,customers!$A$1:$A$1001,customers!$G$1:$G$1001)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4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_xlfn.XLOOKUP(orders!C756,customers!$A$1:$A$1001,customers!$G$1:$G$1001)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4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_xlfn.XLOOKUP(orders!C757,customers!$A$1:$A$1001,customers!$G$1:$G$1001)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4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_xlfn.XLOOKUP(orders!C758,customers!$A$1:$A$1001,customers!$G$1:$G$1001)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4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_xlfn.XLOOKUP(orders!C759,customers!$A$1:$A$1001,customers!$G$1:$G$1001)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4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_xlfn.XLOOKUP(orders!C760,customers!$A$1:$A$1001,customers!$G$1:$G$1001)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4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_xlfn.XLOOKUP(orders!C761,customers!$A$1:$A$1001,customers!$G$1:$G$1001)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4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_xlfn.XLOOKUP(orders!C762,customers!$A$1:$A$1001,customers!$G$1:$G$1001)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4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_xlfn.XLOOKUP(orders!C763,customers!$A$1:$A$1001,customers!$G$1:$G$1001)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4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_xlfn.XLOOKUP(orders!C764,customers!$A$1:$A$1001,customers!$G$1:$G$1001)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4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_xlfn.XLOOKUP(orders!C765,customers!$A$1:$A$1001,customers!$G$1:$G$1001)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4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_xlfn.XLOOKUP(orders!C766,customers!$A$1:$A$1001,customers!$G$1:$G$1001)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4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_xlfn.XLOOKUP(orders!C767,customers!$A$1:$A$1001,customers!$G$1:$G$1001)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4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_xlfn.XLOOKUP(orders!C768,customers!$A$1:$A$1001,customers!$G$1:$G$1001)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4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_xlfn.XLOOKUP(orders!C769,customers!$A$1:$A$1001,customers!$G$1:$G$1001)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4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_xlfn.XLOOKUP(orders!C770,customers!$A$1:$A$1001,customers!$G$1:$G$1001)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4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_xlfn.XLOOKUP(orders!C771,customers!$A$1:$A$1001,customers!$G$1:$G$1001)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 "Excelsa",IF(I771="Ara","Arabica",IF(I771="Lib","Liberica",""))))</f>
        <v>Robusta</v>
      </c>
      <c r="O771" t="str">
        <f t="shared" ref="O771:O834" si="38">IF(J771="M","Medium",IF(J771="L","Light",IF(J771="D","Dark","")))</f>
        <v>Medium</v>
      </c>
      <c r="P771" t="str">
        <f>_xlfn.XLOOKUP(Orders[[#This Row],[Customer ID]],customers!$A$1:$A$1001,customers!$I$1:$I$1001,,0)</f>
        <v>No</v>
      </c>
    </row>
    <row r="772" spans="1:16" x14ac:dyDescent="0.4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_xlfn.XLOOKUP(orders!C772,customers!$A$1:$A$1001,customers!$G$1:$G$1001)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4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_xlfn.XLOOKUP(orders!C773,customers!$A$1:$A$1001,customers!$G$1:$G$1001)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4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_xlfn.XLOOKUP(orders!C774,customers!$A$1:$A$1001,customers!$G$1:$G$1001)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4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_xlfn.XLOOKUP(orders!C775,customers!$A$1:$A$1001,customers!$G$1:$G$1001)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4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_xlfn.XLOOKUP(orders!C776,customers!$A$1:$A$1001,customers!$G$1:$G$1001)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4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_xlfn.XLOOKUP(orders!C777,customers!$A$1:$A$1001,customers!$G$1:$G$1001)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4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_xlfn.XLOOKUP(orders!C778,customers!$A$1:$A$1001,customers!$G$1:$G$1001)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4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_xlfn.XLOOKUP(orders!C779,customers!$A$1:$A$1001,customers!$G$1:$G$1001)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4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_xlfn.XLOOKUP(orders!C780,customers!$A$1:$A$1001,customers!$G$1:$G$1001)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4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_xlfn.XLOOKUP(orders!C781,customers!$A$1:$A$1001,customers!$G$1:$G$1001)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4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_xlfn.XLOOKUP(orders!C782,customers!$A$1:$A$1001,customers!$G$1:$G$1001)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4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_xlfn.XLOOKUP(orders!C783,customers!$A$1:$A$1001,customers!$G$1:$G$1001)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4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_xlfn.XLOOKUP(orders!C784,customers!$A$1:$A$1001,customers!$G$1:$G$1001)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4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_xlfn.XLOOKUP(orders!C785,customers!$A$1:$A$1001,customers!$G$1:$G$1001)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4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_xlfn.XLOOKUP(orders!C786,customers!$A$1:$A$1001,customers!$G$1:$G$1001)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4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_xlfn.XLOOKUP(orders!C787,customers!$A$1:$A$1001,customers!$G$1:$G$1001)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4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_xlfn.XLOOKUP(orders!C788,customers!$A$1:$A$1001,customers!$G$1:$G$1001)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4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_xlfn.XLOOKUP(orders!C789,customers!$A$1:$A$1001,customers!$G$1:$G$1001)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4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_xlfn.XLOOKUP(orders!C790,customers!$A$1:$A$1001,customers!$G$1:$G$1001)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4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_xlfn.XLOOKUP(orders!C791,customers!$A$1:$A$1001,customers!$G$1:$G$1001)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4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_xlfn.XLOOKUP(orders!C792,customers!$A$1:$A$1001,customers!$G$1:$G$1001)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4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_xlfn.XLOOKUP(orders!C793,customers!$A$1:$A$1001,customers!$G$1:$G$1001)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4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_xlfn.XLOOKUP(orders!C794,customers!$A$1:$A$1001,customers!$G$1:$G$1001)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4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_xlfn.XLOOKUP(orders!C795,customers!$A$1:$A$1001,customers!$G$1:$G$1001)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4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_xlfn.XLOOKUP(orders!C796,customers!$A$1:$A$1001,customers!$G$1:$G$1001)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4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_xlfn.XLOOKUP(orders!C797,customers!$A$1:$A$1001,customers!$G$1:$G$1001)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4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_xlfn.XLOOKUP(orders!C798,customers!$A$1:$A$1001,customers!$G$1:$G$1001)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4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_xlfn.XLOOKUP(orders!C799,customers!$A$1:$A$1001,customers!$G$1:$G$1001)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4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_xlfn.XLOOKUP(orders!C800,customers!$A$1:$A$1001,customers!$G$1:$G$1001)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4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_xlfn.XLOOKUP(orders!C801,customers!$A$1:$A$1001,customers!$G$1:$G$1001)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4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_xlfn.XLOOKUP(orders!C802,customers!$A$1:$A$1001,customers!$G$1:$G$1001)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4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_xlfn.XLOOKUP(orders!C803,customers!$A$1:$A$1001,customers!$G$1:$G$1001)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4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_xlfn.XLOOKUP(orders!C804,customers!$A$1:$A$1001,customers!$G$1:$G$1001)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4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_xlfn.XLOOKUP(orders!C805,customers!$A$1:$A$1001,customers!$G$1:$G$1001)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4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_xlfn.XLOOKUP(orders!C806,customers!$A$1:$A$1001,customers!$G$1:$G$1001)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4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_xlfn.XLOOKUP(orders!C807,customers!$A$1:$A$1001,customers!$G$1:$G$1001)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4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_xlfn.XLOOKUP(orders!C808,customers!$A$1:$A$1001,customers!$G$1:$G$1001)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4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_xlfn.XLOOKUP(orders!C809,customers!$A$1:$A$1001,customers!$G$1:$G$1001)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4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_xlfn.XLOOKUP(orders!C810,customers!$A$1:$A$1001,customers!$G$1:$G$1001)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4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_xlfn.XLOOKUP(orders!C811,customers!$A$1:$A$1001,customers!$G$1:$G$1001)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4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_xlfn.XLOOKUP(orders!C812,customers!$A$1:$A$1001,customers!$G$1:$G$1001)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4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_xlfn.XLOOKUP(orders!C813,customers!$A$1:$A$1001,customers!$G$1:$G$1001)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4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_xlfn.XLOOKUP(orders!C814,customers!$A$1:$A$1001,customers!$G$1:$G$1001)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4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_xlfn.XLOOKUP(orders!C815,customers!$A$1:$A$1001,customers!$G$1:$G$1001)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4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_xlfn.XLOOKUP(orders!C816,customers!$A$1:$A$1001,customers!$G$1:$G$1001)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4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_xlfn.XLOOKUP(orders!C817,customers!$A$1:$A$1001,customers!$G$1:$G$1001)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4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_xlfn.XLOOKUP(orders!C818,customers!$A$1:$A$1001,customers!$G$1:$G$1001)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4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_xlfn.XLOOKUP(orders!C819,customers!$A$1:$A$1001,customers!$G$1:$G$1001)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4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_xlfn.XLOOKUP(orders!C820,customers!$A$1:$A$1001,customers!$G$1:$G$1001)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4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_xlfn.XLOOKUP(orders!C821,customers!$A$1:$A$1001,customers!$G$1:$G$1001)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4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_xlfn.XLOOKUP(orders!C822,customers!$A$1:$A$1001,customers!$G$1:$G$1001)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4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_xlfn.XLOOKUP(orders!C823,customers!$A$1:$A$1001,customers!$G$1:$G$1001)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4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_xlfn.XLOOKUP(orders!C824,customers!$A$1:$A$1001,customers!$G$1:$G$1001)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4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_xlfn.XLOOKUP(orders!C825,customers!$A$1:$A$1001,customers!$G$1:$G$1001)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4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_xlfn.XLOOKUP(orders!C826,customers!$A$1:$A$1001,customers!$G$1:$G$1001)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4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_xlfn.XLOOKUP(orders!C827,customers!$A$1:$A$1001,customers!$G$1:$G$1001)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4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_xlfn.XLOOKUP(orders!C828,customers!$A$1:$A$1001,customers!$G$1:$G$1001)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4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_xlfn.XLOOKUP(orders!C829,customers!$A$1:$A$1001,customers!$G$1:$G$1001)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4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_xlfn.XLOOKUP(orders!C830,customers!$A$1:$A$1001,customers!$G$1:$G$1001)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4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_xlfn.XLOOKUP(orders!C831,customers!$A$1:$A$1001,customers!$G$1:$G$1001)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4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_xlfn.XLOOKUP(orders!C832,customers!$A$1:$A$1001,customers!$G$1:$G$1001)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4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_xlfn.XLOOKUP(orders!C833,customers!$A$1:$A$1001,customers!$G$1:$G$1001)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4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_xlfn.XLOOKUP(orders!C834,customers!$A$1:$A$1001,customers!$G$1:$G$1001)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4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_xlfn.XLOOKUP(orders!C835,customers!$A$1:$A$1001,customers!$G$1:$G$1001)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 "Excelsa",IF(I835="Ara","Arabica",IF(I835="Lib","Liberica",""))))</f>
        <v>Robusta</v>
      </c>
      <c r="O835" t="str">
        <f t="shared" ref="O835:O898" si="41">IF(J835="M","Medium",IF(J835="L","Light",IF(J835="D","Dark","")))</f>
        <v>Dark</v>
      </c>
      <c r="P835" t="str">
        <f>_xlfn.XLOOKUP(Orders[[#This Row],[Customer ID]],customers!$A$1:$A$1001,customers!$I$1:$I$1001,,0)</f>
        <v>Yes</v>
      </c>
    </row>
    <row r="836" spans="1:16" x14ac:dyDescent="0.4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_xlfn.XLOOKUP(orders!C836,customers!$A$1:$A$1001,customers!$G$1:$G$1001)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4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_xlfn.XLOOKUP(orders!C837,customers!$A$1:$A$1001,customers!$G$1:$G$1001)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4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_xlfn.XLOOKUP(orders!C838,customers!$A$1:$A$1001,customers!$G$1:$G$1001)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4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_xlfn.XLOOKUP(orders!C839,customers!$A$1:$A$1001,customers!$G$1:$G$1001)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4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_xlfn.XLOOKUP(orders!C840,customers!$A$1:$A$1001,customers!$G$1:$G$1001)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4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_xlfn.XLOOKUP(orders!C841,customers!$A$1:$A$1001,customers!$G$1:$G$1001)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4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_xlfn.XLOOKUP(orders!C842,customers!$A$1:$A$1001,customers!$G$1:$G$1001)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4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_xlfn.XLOOKUP(orders!C843,customers!$A$1:$A$1001,customers!$G$1:$G$1001)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4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_xlfn.XLOOKUP(orders!C844,customers!$A$1:$A$1001,customers!$G$1:$G$1001)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4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_xlfn.XLOOKUP(orders!C845,customers!$A$1:$A$1001,customers!$G$1:$G$1001)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4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_xlfn.XLOOKUP(orders!C846,customers!$A$1:$A$1001,customers!$G$1:$G$1001)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4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_xlfn.XLOOKUP(orders!C847,customers!$A$1:$A$1001,customers!$G$1:$G$1001)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4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_xlfn.XLOOKUP(orders!C848,customers!$A$1:$A$1001,customers!$G$1:$G$1001)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4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_xlfn.XLOOKUP(orders!C849,customers!$A$1:$A$1001,customers!$G$1:$G$1001)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4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_xlfn.XLOOKUP(orders!C850,customers!$A$1:$A$1001,customers!$G$1:$G$1001)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4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_xlfn.XLOOKUP(orders!C851,customers!$A$1:$A$1001,customers!$G$1:$G$1001)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4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_xlfn.XLOOKUP(orders!C852,customers!$A$1:$A$1001,customers!$G$1:$G$1001)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4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_xlfn.XLOOKUP(orders!C853,customers!$A$1:$A$1001,customers!$G$1:$G$1001)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4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_xlfn.XLOOKUP(orders!C854,customers!$A$1:$A$1001,customers!$G$1:$G$1001)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4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_xlfn.XLOOKUP(orders!C855,customers!$A$1:$A$1001,customers!$G$1:$G$1001)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4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_xlfn.XLOOKUP(orders!C856,customers!$A$1:$A$1001,customers!$G$1:$G$1001)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4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_xlfn.XLOOKUP(orders!C857,customers!$A$1:$A$1001,customers!$G$1:$G$1001)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4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_xlfn.XLOOKUP(orders!C858,customers!$A$1:$A$1001,customers!$G$1:$G$1001)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4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_xlfn.XLOOKUP(orders!C859,customers!$A$1:$A$1001,customers!$G$1:$G$1001)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4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_xlfn.XLOOKUP(orders!C860,customers!$A$1:$A$1001,customers!$G$1:$G$1001)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4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_xlfn.XLOOKUP(orders!C861,customers!$A$1:$A$1001,customers!$G$1:$G$1001)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4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_xlfn.XLOOKUP(orders!C862,customers!$A$1:$A$1001,customers!$G$1:$G$1001)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4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_xlfn.XLOOKUP(orders!C863,customers!$A$1:$A$1001,customers!$G$1:$G$1001)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4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_xlfn.XLOOKUP(orders!C864,customers!$A$1:$A$1001,customers!$G$1:$G$1001)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4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_xlfn.XLOOKUP(orders!C865,customers!$A$1:$A$1001,customers!$G$1:$G$1001)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4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_xlfn.XLOOKUP(orders!C866,customers!$A$1:$A$1001,customers!$G$1:$G$1001)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4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_xlfn.XLOOKUP(orders!C867,customers!$A$1:$A$1001,customers!$G$1:$G$1001)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4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_xlfn.XLOOKUP(orders!C868,customers!$A$1:$A$1001,customers!$G$1:$G$1001)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4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_xlfn.XLOOKUP(orders!C869,customers!$A$1:$A$1001,customers!$G$1:$G$1001)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4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_xlfn.XLOOKUP(orders!C870,customers!$A$1:$A$1001,customers!$G$1:$G$1001)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4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_xlfn.XLOOKUP(orders!C871,customers!$A$1:$A$1001,customers!$G$1:$G$1001)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4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_xlfn.XLOOKUP(orders!C872,customers!$A$1:$A$1001,customers!$G$1:$G$1001)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4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_xlfn.XLOOKUP(orders!C873,customers!$A$1:$A$1001,customers!$G$1:$G$1001)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4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_xlfn.XLOOKUP(orders!C874,customers!$A$1:$A$1001,customers!$G$1:$G$1001)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4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_xlfn.XLOOKUP(orders!C875,customers!$A$1:$A$1001,customers!$G$1:$G$1001)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4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_xlfn.XLOOKUP(orders!C876,customers!$A$1:$A$1001,customers!$G$1:$G$1001)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4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_xlfn.XLOOKUP(orders!C877,customers!$A$1:$A$1001,customers!$G$1:$G$1001)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4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_xlfn.XLOOKUP(orders!C878,customers!$A$1:$A$1001,customers!$G$1:$G$1001)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4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_xlfn.XLOOKUP(orders!C879,customers!$A$1:$A$1001,customers!$G$1:$G$1001)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4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_xlfn.XLOOKUP(orders!C880,customers!$A$1:$A$1001,customers!$G$1:$G$1001)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4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_xlfn.XLOOKUP(orders!C881,customers!$A$1:$A$1001,customers!$G$1:$G$1001)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4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_xlfn.XLOOKUP(orders!C882,customers!$A$1:$A$1001,customers!$G$1:$G$1001)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4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_xlfn.XLOOKUP(orders!C883,customers!$A$1:$A$1001,customers!$G$1:$G$1001)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4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_xlfn.XLOOKUP(orders!C884,customers!$A$1:$A$1001,customers!$G$1:$G$1001)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4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_xlfn.XLOOKUP(orders!C885,customers!$A$1:$A$1001,customers!$G$1:$G$1001)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4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_xlfn.XLOOKUP(orders!C886,customers!$A$1:$A$1001,customers!$G$1:$G$1001)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4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_xlfn.XLOOKUP(orders!C887,customers!$A$1:$A$1001,customers!$G$1:$G$1001)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4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_xlfn.XLOOKUP(orders!C888,customers!$A$1:$A$1001,customers!$G$1:$G$1001)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4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_xlfn.XLOOKUP(orders!C889,customers!$A$1:$A$1001,customers!$G$1:$G$1001)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4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_xlfn.XLOOKUP(orders!C890,customers!$A$1:$A$1001,customers!$G$1:$G$1001)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4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_xlfn.XLOOKUP(orders!C891,customers!$A$1:$A$1001,customers!$G$1:$G$1001)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4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_xlfn.XLOOKUP(orders!C892,customers!$A$1:$A$1001,customers!$G$1:$G$1001)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4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_xlfn.XLOOKUP(orders!C893,customers!$A$1:$A$1001,customers!$G$1:$G$1001)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4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_xlfn.XLOOKUP(orders!C894,customers!$A$1:$A$1001,customers!$G$1:$G$1001)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4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_xlfn.XLOOKUP(orders!C895,customers!$A$1:$A$1001,customers!$G$1:$G$1001)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4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_xlfn.XLOOKUP(orders!C896,customers!$A$1:$A$1001,customers!$G$1:$G$1001)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4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_xlfn.XLOOKUP(orders!C897,customers!$A$1:$A$1001,customers!$G$1:$G$1001)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4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_xlfn.XLOOKUP(orders!C898,customers!$A$1:$A$1001,customers!$G$1:$G$1001)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4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_xlfn.XLOOKUP(orders!C899,customers!$A$1:$A$1001,customers!$G$1:$G$1001)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 "Excelsa",IF(I899="Ara","Arabica",IF(I899="Lib","Liberica",""))))</f>
        <v>Excelsa</v>
      </c>
      <c r="O899" t="str">
        <f t="shared" ref="O899:O962" si="44">IF(J899="M","Medium",IF(J899="L","Light",IF(J899="D","Dark","")))</f>
        <v>Dark</v>
      </c>
      <c r="P899" t="str">
        <f>_xlfn.XLOOKUP(Orders[[#This Row],[Customer ID]],customers!$A$1:$A$1001,customers!$I$1:$I$1001,,0)</f>
        <v>No</v>
      </c>
    </row>
    <row r="900" spans="1:16" x14ac:dyDescent="0.4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_xlfn.XLOOKUP(orders!C900,customers!$A$1:$A$1001,customers!$G$1:$G$1001)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4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_xlfn.XLOOKUP(orders!C901,customers!$A$1:$A$1001,customers!$G$1:$G$1001)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4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_xlfn.XLOOKUP(orders!C902,customers!$A$1:$A$1001,customers!$G$1:$G$1001)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4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_xlfn.XLOOKUP(orders!C903,customers!$A$1:$A$1001,customers!$G$1:$G$1001)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4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_xlfn.XLOOKUP(orders!C904,customers!$A$1:$A$1001,customers!$G$1:$G$1001)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4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_xlfn.XLOOKUP(orders!C905,customers!$A$1:$A$1001,customers!$G$1:$G$1001)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4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_xlfn.XLOOKUP(orders!C906,customers!$A$1:$A$1001,customers!$G$1:$G$1001)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4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_xlfn.XLOOKUP(orders!C907,customers!$A$1:$A$1001,customers!$G$1:$G$1001)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4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_xlfn.XLOOKUP(orders!C908,customers!$A$1:$A$1001,customers!$G$1:$G$1001)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4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_xlfn.XLOOKUP(orders!C909,customers!$A$1:$A$1001,customers!$G$1:$G$1001)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4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_xlfn.XLOOKUP(orders!C910,customers!$A$1:$A$1001,customers!$G$1:$G$1001)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4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_xlfn.XLOOKUP(orders!C911,customers!$A$1:$A$1001,customers!$G$1:$G$1001)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4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_xlfn.XLOOKUP(orders!C912,customers!$A$1:$A$1001,customers!$G$1:$G$1001)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4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_xlfn.XLOOKUP(orders!C913,customers!$A$1:$A$1001,customers!$G$1:$G$1001)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4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_xlfn.XLOOKUP(orders!C914,customers!$A$1:$A$1001,customers!$G$1:$G$1001)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4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_xlfn.XLOOKUP(orders!C915,customers!$A$1:$A$1001,customers!$G$1:$G$1001)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4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_xlfn.XLOOKUP(orders!C916,customers!$A$1:$A$1001,customers!$G$1:$G$1001)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4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_xlfn.XLOOKUP(orders!C917,customers!$A$1:$A$1001,customers!$G$1:$G$1001)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4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_xlfn.XLOOKUP(orders!C918,customers!$A$1:$A$1001,customers!$G$1:$G$1001)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4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_xlfn.XLOOKUP(orders!C919,customers!$A$1:$A$1001,customers!$G$1:$G$1001)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4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_xlfn.XLOOKUP(orders!C920,customers!$A$1:$A$1001,customers!$G$1:$G$1001)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4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_xlfn.XLOOKUP(orders!C921,customers!$A$1:$A$1001,customers!$G$1:$G$1001)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4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_xlfn.XLOOKUP(orders!C922,customers!$A$1:$A$1001,customers!$G$1:$G$1001)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4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_xlfn.XLOOKUP(orders!C923,customers!$A$1:$A$1001,customers!$G$1:$G$1001)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4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_xlfn.XLOOKUP(orders!C924,customers!$A$1:$A$1001,customers!$G$1:$G$1001)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4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_xlfn.XLOOKUP(orders!C925,customers!$A$1:$A$1001,customers!$G$1:$G$1001)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4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_xlfn.XLOOKUP(orders!C926,customers!$A$1:$A$1001,customers!$G$1:$G$1001)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4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_xlfn.XLOOKUP(orders!C927,customers!$A$1:$A$1001,customers!$G$1:$G$1001)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4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_xlfn.XLOOKUP(orders!C928,customers!$A$1:$A$1001,customers!$G$1:$G$1001)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4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_xlfn.XLOOKUP(orders!C929,customers!$A$1:$A$1001,customers!$G$1:$G$1001)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4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_xlfn.XLOOKUP(orders!C930,customers!$A$1:$A$1001,customers!$G$1:$G$1001)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4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_xlfn.XLOOKUP(orders!C931,customers!$A$1:$A$1001,customers!$G$1:$G$1001)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4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_xlfn.XLOOKUP(orders!C932,customers!$A$1:$A$1001,customers!$G$1:$G$1001)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4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_xlfn.XLOOKUP(orders!C933,customers!$A$1:$A$1001,customers!$G$1:$G$1001)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4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_xlfn.XLOOKUP(orders!C934,customers!$A$1:$A$1001,customers!$G$1:$G$1001)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4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_xlfn.XLOOKUP(orders!C935,customers!$A$1:$A$1001,customers!$G$1:$G$1001)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4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_xlfn.XLOOKUP(orders!C936,customers!$A$1:$A$1001,customers!$G$1:$G$1001)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4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_xlfn.XLOOKUP(orders!C937,customers!$A$1:$A$1001,customers!$G$1:$G$1001)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4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_xlfn.XLOOKUP(orders!C938,customers!$A$1:$A$1001,customers!$G$1:$G$1001)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4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_xlfn.XLOOKUP(orders!C939,customers!$A$1:$A$1001,customers!$G$1:$G$1001)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4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_xlfn.XLOOKUP(orders!C940,customers!$A$1:$A$1001,customers!$G$1:$G$1001)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4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_xlfn.XLOOKUP(orders!C941,customers!$A$1:$A$1001,customers!$G$1:$G$1001)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4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_xlfn.XLOOKUP(orders!C942,customers!$A$1:$A$1001,customers!$G$1:$G$1001)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4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_xlfn.XLOOKUP(orders!C943,customers!$A$1:$A$1001,customers!$G$1:$G$1001)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4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_xlfn.XLOOKUP(orders!C944,customers!$A$1:$A$1001,customers!$G$1:$G$1001)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4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_xlfn.XLOOKUP(orders!C945,customers!$A$1:$A$1001,customers!$G$1:$G$1001)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4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_xlfn.XLOOKUP(orders!C946,customers!$A$1:$A$1001,customers!$G$1:$G$1001)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4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_xlfn.XLOOKUP(orders!C947,customers!$A$1:$A$1001,customers!$G$1:$G$1001)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4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_xlfn.XLOOKUP(orders!C948,customers!$A$1:$A$1001,customers!$G$1:$G$1001)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4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_xlfn.XLOOKUP(orders!C949,customers!$A$1:$A$1001,customers!$G$1:$G$1001)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4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_xlfn.XLOOKUP(orders!C950,customers!$A$1:$A$1001,customers!$G$1:$G$1001)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4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_xlfn.XLOOKUP(orders!C951,customers!$A$1:$A$1001,customers!$G$1:$G$1001)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4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_xlfn.XLOOKUP(orders!C952,customers!$A$1:$A$1001,customers!$G$1:$G$1001)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4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_xlfn.XLOOKUP(orders!C953,customers!$A$1:$A$1001,customers!$G$1:$G$1001)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4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_xlfn.XLOOKUP(orders!C954,customers!$A$1:$A$1001,customers!$G$1:$G$1001)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4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_xlfn.XLOOKUP(orders!C955,customers!$A$1:$A$1001,customers!$G$1:$G$1001)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4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_xlfn.XLOOKUP(orders!C956,customers!$A$1:$A$1001,customers!$G$1:$G$1001)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4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_xlfn.XLOOKUP(orders!C957,customers!$A$1:$A$1001,customers!$G$1:$G$1001)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4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_xlfn.XLOOKUP(orders!C958,customers!$A$1:$A$1001,customers!$G$1:$G$1001)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4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_xlfn.XLOOKUP(orders!C959,customers!$A$1:$A$1001,customers!$G$1:$G$1001)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4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_xlfn.XLOOKUP(orders!C960,customers!$A$1:$A$1001,customers!$G$1:$G$1001)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4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_xlfn.XLOOKUP(orders!C961,customers!$A$1:$A$1001,customers!$G$1:$G$1001)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4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_xlfn.XLOOKUP(orders!C962,customers!$A$1:$A$1001,customers!$G$1:$G$1001)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4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_xlfn.XLOOKUP(orders!C963,customers!$A$1:$A$1001,customers!$G$1:$G$1001)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 "Excelsa",IF(I963="Ara","Arabica",IF(I963="Lib","Liberica",""))))</f>
        <v>Arabica</v>
      </c>
      <c r="O963" t="str">
        <f t="shared" ref="O963:O1001" si="47">IF(J963="M","Medium",IF(J963="L","Light",IF(J963="D","Dark","")))</f>
        <v>Dark</v>
      </c>
      <c r="P963" t="str">
        <f>_xlfn.XLOOKUP(Orders[[#This Row],[Customer ID]],customers!$A$1:$A$1001,customers!$I$1:$I$1001,,0)</f>
        <v>Yes</v>
      </c>
    </row>
    <row r="964" spans="1:16" x14ac:dyDescent="0.4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_xlfn.XLOOKUP(orders!C964,customers!$A$1:$A$1001,customers!$G$1:$G$1001)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4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_xlfn.XLOOKUP(orders!C965,customers!$A$1:$A$1001,customers!$G$1:$G$1001)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4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_xlfn.XLOOKUP(orders!C966,customers!$A$1:$A$1001,customers!$G$1:$G$1001)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4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_xlfn.XLOOKUP(orders!C967,customers!$A$1:$A$1001,customers!$G$1:$G$1001)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4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_xlfn.XLOOKUP(orders!C968,customers!$A$1:$A$1001,customers!$G$1:$G$1001)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4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_xlfn.XLOOKUP(orders!C969,customers!$A$1:$A$1001,customers!$G$1:$G$1001)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4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_xlfn.XLOOKUP(orders!C970,customers!$A$1:$A$1001,customers!$G$1:$G$1001)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4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_xlfn.XLOOKUP(orders!C971,customers!$A$1:$A$1001,customers!$G$1:$G$1001)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4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_xlfn.XLOOKUP(orders!C972,customers!$A$1:$A$1001,customers!$G$1:$G$1001)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4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_xlfn.XLOOKUP(orders!C973,customers!$A$1:$A$1001,customers!$G$1:$G$1001)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4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_xlfn.XLOOKUP(orders!C974,customers!$A$1:$A$1001,customers!$G$1:$G$1001)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4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_xlfn.XLOOKUP(orders!C975,customers!$A$1:$A$1001,customers!$G$1:$G$1001)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4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_xlfn.XLOOKUP(orders!C976,customers!$A$1:$A$1001,customers!$G$1:$G$1001)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4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_xlfn.XLOOKUP(orders!C977,customers!$A$1:$A$1001,customers!$G$1:$G$1001)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4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_xlfn.XLOOKUP(orders!C978,customers!$A$1:$A$1001,customers!$G$1:$G$1001)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4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_xlfn.XLOOKUP(orders!C979,customers!$A$1:$A$1001,customers!$G$1:$G$1001)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4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_xlfn.XLOOKUP(orders!C980,customers!$A$1:$A$1001,customers!$G$1:$G$1001)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4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_xlfn.XLOOKUP(orders!C981,customers!$A$1:$A$1001,customers!$G$1:$G$1001)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4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_xlfn.XLOOKUP(orders!C982,customers!$A$1:$A$1001,customers!$G$1:$G$1001)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4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_xlfn.XLOOKUP(orders!C983,customers!$A$1:$A$1001,customers!$G$1:$G$1001)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4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_xlfn.XLOOKUP(orders!C984,customers!$A$1:$A$1001,customers!$G$1:$G$1001)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4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_xlfn.XLOOKUP(orders!C985,customers!$A$1:$A$1001,customers!$G$1:$G$1001)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4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_xlfn.XLOOKUP(orders!C986,customers!$A$1:$A$1001,customers!$G$1:$G$1001)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4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_xlfn.XLOOKUP(orders!C987,customers!$A$1:$A$1001,customers!$G$1:$G$1001)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4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_xlfn.XLOOKUP(orders!C988,customers!$A$1:$A$1001,customers!$G$1:$G$1001)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4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_xlfn.XLOOKUP(orders!C989,customers!$A$1:$A$1001,customers!$G$1:$G$1001)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4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_xlfn.XLOOKUP(orders!C990,customers!$A$1:$A$1001,customers!$G$1:$G$1001)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4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_xlfn.XLOOKUP(orders!C991,customers!$A$1:$A$1001,customers!$G$1:$G$1001)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4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_xlfn.XLOOKUP(orders!C992,customers!$A$1:$A$1001,customers!$G$1:$G$1001)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4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_xlfn.XLOOKUP(orders!C993,customers!$A$1:$A$1001,customers!$G$1:$G$1001)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4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_xlfn.XLOOKUP(orders!C994,customers!$A$1:$A$1001,customers!$G$1:$G$1001)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4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_xlfn.XLOOKUP(orders!C995,customers!$A$1:$A$1001,customers!$G$1:$G$1001)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4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_xlfn.XLOOKUP(orders!C996,customers!$A$1:$A$1001,customers!$G$1:$G$1001)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4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_xlfn.XLOOKUP(orders!C997,customers!$A$1:$A$1001,customers!$G$1:$G$1001)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4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_xlfn.XLOOKUP(orders!C998,customers!$A$1:$A$1001,customers!$G$1:$G$1001)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4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_xlfn.XLOOKUP(orders!C999,customers!$A$1:$A$1001,customers!$G$1:$G$1001)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4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_xlfn.XLOOKUP(orders!C1000,customers!$A$1:$A$1001,customers!$G$1:$G$1001)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4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_xlfn.XLOOKUP(orders!C1001,customers!$A$1:$A$1001,customers!$G$1:$G$1001)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72"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924EA-7191-473A-A368-79723EC06F5C}">
  <dimension ref="A1:A18"/>
  <sheetViews>
    <sheetView showGridLines="0" tabSelected="1" topLeftCell="C1" zoomScale="70" zoomScaleNormal="70" workbookViewId="0">
      <selection activeCell="AA13" sqref="AA13"/>
    </sheetView>
  </sheetViews>
  <sheetFormatPr defaultRowHeight="14.25" x14ac:dyDescent="0.45"/>
  <cols>
    <col min="1" max="1" width="1.59765625" customWidth="1"/>
    <col min="16" max="16" width="1.59765625" customWidth="1"/>
  </cols>
  <sheetData>
    <row r="1" ht="5" customHeight="1" x14ac:dyDescent="0.45"/>
    <row r="6" ht="5" customHeight="1" x14ac:dyDescent="0.45"/>
    <row r="11" ht="5" customHeight="1" x14ac:dyDescent="0.45"/>
    <row r="18"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Hao, Bokun</cp:lastModifiedBy>
  <cp:revision/>
  <dcterms:created xsi:type="dcterms:W3CDTF">2022-11-26T09:51:45Z</dcterms:created>
  <dcterms:modified xsi:type="dcterms:W3CDTF">2026-10-14T01:40:08Z</dcterms:modified>
  <cp:category/>
  <cp:contentStatus/>
</cp:coreProperties>
</file>